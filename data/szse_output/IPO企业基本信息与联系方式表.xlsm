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bSd5/FWuumF3VA9AtDXTr/bODS8ICRKeNmjKFDiCjOQxXoQ3oT3zdJs6ZGcPBllWZ04c6CFZOn5Fs9pZTa0KVw==" workbookSaltValue="DoYZN0xHtgNXukZY+tshmg==" workbookSpinCount="100000" lockStructure="1"/>
  <bookViews>
    <workbookView windowWidth="28000" windowHeight="16520" tabRatio="731" activeTab="3"/>
  </bookViews>
  <sheets>
    <sheet name="封面" sheetId="13" r:id="rId1"/>
    <sheet name="版本页" sheetId="14" state="hidden" r:id="rId2"/>
    <sheet name="编写说明" sheetId="15" state="hidden" r:id="rId3"/>
    <sheet name="项目基本情况表" sheetId="1" r:id="rId4"/>
    <sheet name="联系方式" sheetId="2" r:id="rId5"/>
    <sheet name="财务基础数据" sheetId="3" r:id="rId6"/>
    <sheet name="产品及其他情况表" sheetId="17" r:id="rId7"/>
    <sheet name="发行人相关人员情况" sheetId="4" r:id="rId8"/>
    <sheet name="数据字典" sheetId="5" state="hidden" r:id="rId9"/>
    <sheet name="中英文映射数据字典" sheetId="6" state="hidden" r:id="rId10"/>
    <sheet name="省市数据" sheetId="7" state="hidden" r:id="rId11"/>
    <sheet name="财务数据字典" sheetId="8" state="hidden" r:id="rId12"/>
    <sheet name="证监会行业数据" sheetId="9" state="hidden" r:id="rId13"/>
    <sheet name="申万行业数据" sheetId="12" state="hidden" r:id="rId14"/>
    <sheet name="证监局数据" sheetId="16" state="hidden" r:id="rId15"/>
    <sheet name="产品及其他情况字典" sheetId="18" state="hidden" r:id="rId16"/>
  </sheets>
  <definedNames>
    <definedName name="accountRule">数据字典!$O$2:$O$5</definedName>
    <definedName name="CompType">数据字典!$G$2:$G$5</definedName>
    <definedName name="listingStandards">数据字典!$Q$2:$Q$8</definedName>
    <definedName name="sponsorRole">数据字典!$K$2:$K$4</definedName>
    <definedName name="standardLEvel">数据字典!$M$2:$M$6</definedName>
    <definedName name="StockArchitecture">数据字典!$I$2:$I$6</definedName>
    <definedName name="安徽">省市数据!$R$2:$R$18</definedName>
    <definedName name="北京">省市数据!$G$2:$G$19</definedName>
    <definedName name="采掘_sw">申万行业数据!$H$2:$H$5</definedName>
    <definedName name="采矿业_zjh">证监会行业数据!$H$2:$H$8</definedName>
    <definedName name="传媒_sw">申万行业数据!$AG$2:$AG$4</definedName>
    <definedName name="地方证监局">证监局数据!$A$2:$A$37</definedName>
    <definedName name="电气设备_sw">申万行业数据!$AC$2:$AC$5</definedName>
    <definedName name="电子_sw">申万行业数据!$L$2:$L$6</definedName>
    <definedName name="房地产_sw">申万行业数据!$U$2:$U$3</definedName>
    <definedName name="房地产_zjh">证监会行业数据!$Q$2</definedName>
    <definedName name="纺织服装_sw">申万行业数据!$P$2:$P$3</definedName>
    <definedName name="非银金融_sw">申万行业数据!$Y$2:$Y$4</definedName>
    <definedName name="福建">省市数据!$S$2:$S$10</definedName>
    <definedName name="甘肃">省市数据!$AH$2:$AH$17</definedName>
    <definedName name="钢铁_sw">申万行业数据!$J$2</definedName>
    <definedName name="公共环保_zjh">证监会行业数据!$T$2:$T$4</definedName>
    <definedName name="公用事业_sw">申万行业数据!$S$2:$S$5</definedName>
    <definedName name="广东">省市数据!$Y$2:$Y$22</definedName>
    <definedName name="广西">省市数据!$Z$2:$Z$17</definedName>
    <definedName name="贵州">省市数据!$AD$2:$AD$12</definedName>
    <definedName name="国防军工_sw">申万行业数据!$AE$2:$AE$5</definedName>
    <definedName name="海南">省市数据!$AA$2:$AA$24</definedName>
    <definedName name="河北">省市数据!$I$2:$I$12</definedName>
    <definedName name="河南">省市数据!$V$2:$V$19</definedName>
    <definedName name="黑龙江">省市数据!$N$2:$N$14</definedName>
    <definedName name="湖北">省市数据!$W$2:$W$18</definedName>
    <definedName name="湖南">省市数据!$X$2:$X$15</definedName>
    <definedName name="化工_sw">申万行业数据!$I$2:$I$7</definedName>
    <definedName name="机械设备_sw">申万行业数据!$AD$2:$AD$6</definedName>
    <definedName name="吉林">省市数据!$M$2:$M$10</definedName>
    <definedName name="计算机_sw">申万行业数据!$AF$2:$AF$3</definedName>
    <definedName name="家用电器_sw">申万行业数据!$N$2:$N$3</definedName>
    <definedName name="建筑材料_sw">申万行业数据!$AA$2:$AA$4</definedName>
    <definedName name="建筑业_zjh">证监会行业数据!$K$2:$K$5</definedName>
    <definedName name="建筑装饰_sw">申万行业数据!$AB$2:$AB$6</definedName>
    <definedName name="江苏">省市数据!$P$2:$P$14</definedName>
    <definedName name="江西">省市数据!$T$2:$T$12</definedName>
    <definedName name="交通运输_sw">申万行业数据!$T$2:$T$9</definedName>
    <definedName name="教育_zjh">证监会行业数据!$V$2</definedName>
    <definedName name="金融业_zjh">证监会行业数据!$P$2:$P$5</definedName>
    <definedName name="境外地区">省市数据!$AO$2</definedName>
    <definedName name="居民服务_zjh">证监会行业数据!$U$2:$U$4</definedName>
    <definedName name="科研服务_zjh">证监会行业数据!$S$2:$S$4</definedName>
    <definedName name="辽宁">省市数据!$L$2:$L$15</definedName>
    <definedName name="内蒙古">省市数据!$K$2:$K$15</definedName>
    <definedName name="宁夏">省市数据!$AJ$2:$AJ$6</definedName>
    <definedName name="农林牧渔_sw">申万行业数据!$G$2:$G$9</definedName>
    <definedName name="农林牧渔_zjh">证监会行业数据!$G$2:$G$6</definedName>
    <definedName name="批发零售_zjh">证监会行业数据!$L$2:$L$3</definedName>
    <definedName name="汽车_sw">申万行业数据!$M$2:$M$5</definedName>
    <definedName name="青海">省市数据!$AI$2:$AI$9</definedName>
    <definedName name="轻工制造_sw">申万行业数据!$Q$2:$Q$5</definedName>
    <definedName name="山东">省市数据!$U$2:$U$18</definedName>
    <definedName name="山西">省市数据!$J$2:$J$13</definedName>
    <definedName name="陕西">省市数据!$AG$2:$AG$11</definedName>
    <definedName name="商务服务_zjh">证监会行业数据!$R$2:$R$3</definedName>
    <definedName name="商业贸易_sw">申万行业数据!$V$2:$V$5</definedName>
    <definedName name="上海">省市数据!$O$2:$O$20</definedName>
    <definedName name="省">省市数据!$A$2:$A$36</definedName>
    <definedName name="食品饮料_sw">申万行业数据!$O$2:$O$3</definedName>
    <definedName name="水电煤气_zjh">证监会行业数据!$J$2:$J$4</definedName>
    <definedName name="四川">省市数据!$AC$2:$AC$22</definedName>
    <definedName name="天津">省市数据!$H$2:$H$20</definedName>
    <definedName name="通信_sw">申万行业数据!$AH$2:$AH$3</definedName>
    <definedName name="卫生_zjh">证监会行业数据!$W$2:$W$3</definedName>
    <definedName name="文化传播_zjh">证监会行业数据!$X$2:$X$6</definedName>
    <definedName name="西藏">省市数据!$AF$2:$AF$12</definedName>
    <definedName name="新疆">省市数据!$AK$2:$AK$27</definedName>
    <definedName name="信息技术_zjh">证监会行业数据!$O$2:$O$4</definedName>
    <definedName name="休闲服务_sw">申万行业数据!$W$2:$W$6</definedName>
    <definedName name="一级行业_zjh">证监会行业数据!$A$2:$A$20</definedName>
    <definedName name="一级行业名称_sw">申万行业数据!$A$2:$A$29</definedName>
    <definedName name="医药生物_sw">申万行业数据!$R$2:$R$7</definedName>
    <definedName name="银行_sw">申万行业数据!$X$2</definedName>
    <definedName name="有色金属_sw">申万行业数据!$K$2:$K$5</definedName>
    <definedName name="云南">省市数据!$AE$2:$AE$20</definedName>
    <definedName name="运输仓储_zjh">证监会行业数据!$M$2:$M$9</definedName>
    <definedName name="浙江">省市数据!$Q$2:$Q$12</definedName>
    <definedName name="制造业_zjh">证监会行业数据!$I$2:$I$32</definedName>
    <definedName name="中国澳门">省市数据!$AM$2</definedName>
    <definedName name="中国台湾">省市数据!$AN$2</definedName>
    <definedName name="中国香港">省市数据!$AL$2</definedName>
    <definedName name="重庆">省市数据!$AB$2:$AB$27</definedName>
    <definedName name="住宿餐饮_zjh">证监会行业数据!$N$2:$N$3</definedName>
    <definedName name="综合_sw">申万行业数据!$Z$2</definedName>
    <definedName name="综合_zjh">证监会行业数据!$Y$2</definedName>
  </definedNames>
  <calcPr calcId="144525"/>
</workbook>
</file>

<file path=xl/sharedStrings.xml><?xml version="1.0" encoding="utf-8"?>
<sst xmlns="http://schemas.openxmlformats.org/spreadsheetml/2006/main" count="2119">
  <si>
    <t>企业基本信息与联系方式表</t>
  </si>
  <si>
    <t>文档版本</t>
  </si>
  <si>
    <t>V0.0.0.2</t>
  </si>
  <si>
    <t>编写人</t>
  </si>
  <si>
    <t>编写说明</t>
  </si>
  <si>
    <t>评审记录</t>
  </si>
  <si>
    <t>审批记录</t>
  </si>
  <si>
    <t>确认人</t>
  </si>
  <si>
    <t>确认时间</t>
  </si>
  <si>
    <t>批准人</t>
  </si>
  <si>
    <t>批准时间</t>
  </si>
  <si>
    <t xml:space="preserve">   </t>
  </si>
  <si>
    <t>修改版本</t>
  </si>
  <si>
    <t>修改日期</t>
  </si>
  <si>
    <t>修改对象</t>
  </si>
  <si>
    <t>修改人</t>
  </si>
  <si>
    <t>修改说明</t>
  </si>
  <si>
    <t>全部</t>
  </si>
  <si>
    <t>首次上线文档</t>
  </si>
  <si>
    <t>V0.0.0.1</t>
  </si>
  <si>
    <t>创建文档</t>
  </si>
  <si>
    <t>说  明</t>
  </si>
  <si>
    <t>本文档中所包含的信息属于商业机密信息，
如未经深圳证券交易所的书面许可，任何人都无权复制或利用。</t>
  </si>
  <si>
    <t>文档名称</t>
  </si>
  <si>
    <t>文档简称</t>
  </si>
  <si>
    <t>英文缩写</t>
  </si>
  <si>
    <t>项目编号</t>
  </si>
  <si>
    <t>版本号</t>
  </si>
  <si>
    <t xml:space="preserve"> </t>
  </si>
  <si>
    <t>任务提出者</t>
  </si>
  <si>
    <t>深圳证券交易所</t>
  </si>
  <si>
    <t>编写者</t>
  </si>
  <si>
    <t>用户</t>
  </si>
  <si>
    <t>同其他系统的关系</t>
  </si>
  <si>
    <t>编写目的</t>
  </si>
  <si>
    <t>实现报表自动导出和导入</t>
  </si>
  <si>
    <t>定义</t>
  </si>
  <si>
    <t>说明</t>
  </si>
  <si>
    <t>法律法规与参考资料</t>
  </si>
  <si>
    <t>发行人信息</t>
  </si>
  <si>
    <r>
      <rPr>
        <sz val="11"/>
        <rFont val="微软雅黑"/>
        <charset val="134"/>
      </rPr>
      <t>申报企业（全称）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</si>
  <si>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申报企业（简称）</t>
    </r>
    <r>
      <rPr>
        <sz val="11"/>
        <color rgb="FFFF0000"/>
        <rFont val="微软雅黑"/>
        <charset val="134"/>
      </rPr>
      <t>*</t>
    </r>
  </si>
  <si>
    <t>申报企业曾用名</t>
  </si>
  <si>
    <r>
      <rPr>
        <sz val="11"/>
        <rFont val="微软雅黑"/>
        <charset val="134"/>
      </rPr>
      <t>公司类型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</si>
  <si>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统一社会信用代码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</si>
  <si>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高新技术企业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</si>
  <si>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证监会行业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</si>
  <si>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证监会行业细分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</si>
  <si>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申万一级行业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</si>
  <si>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申万二级行业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</si>
  <si>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主营业务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</si>
  <si>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公司设立时间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</si>
  <si>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是否发行CDR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</si>
  <si>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是否红筹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</si>
  <si>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是否特殊股权架构</t>
    </r>
    <r>
      <rPr>
        <sz val="11"/>
        <color rgb="FFFF0000"/>
        <rFont val="微软雅黑"/>
        <charset val="134"/>
      </rPr>
      <t>*</t>
    </r>
  </si>
  <si>
    <t>是否存在员工持股计划、股权激励计划</t>
  </si>
  <si>
    <r>
      <rPr>
        <sz val="11"/>
        <rFont val="微软雅黑"/>
        <charset val="134"/>
      </rPr>
      <t>注册地（省市或境外）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</si>
  <si>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注册地（市区县）</t>
    </r>
    <r>
      <rPr>
        <sz val="11"/>
        <color rgb="FFFF0000"/>
        <rFont val="微软雅黑"/>
        <charset val="134"/>
      </rPr>
      <t>*</t>
    </r>
  </si>
  <si>
    <t>辖区证监局</t>
  </si>
  <si>
    <r>
      <rPr>
        <sz val="11"/>
        <rFont val="微软雅黑"/>
        <charset val="134"/>
      </rPr>
      <t>法人代表</t>
    </r>
    <r>
      <rPr>
        <sz val="11"/>
        <color rgb="FFFF0000"/>
        <rFont val="微软雅黑"/>
        <charset val="134"/>
      </rPr>
      <t>*</t>
    </r>
  </si>
  <si>
    <t>实际控制人</t>
  </si>
  <si>
    <t>实际控制人持股比例（%）</t>
  </si>
  <si>
    <r>
      <rPr>
        <sz val="11"/>
        <rFont val="微软雅黑"/>
        <charset val="134"/>
      </rPr>
      <t>最近一期审计基准日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</si>
  <si>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采用的会计准则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</si>
  <si>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拟发行量（万股）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</si>
  <si>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发行前总股本（万股）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</si>
  <si>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拟发行股数占发行后总股本比例（%）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</si>
  <si>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预计募集资金总额（万元）</t>
    </r>
    <r>
      <rPr>
        <sz val="11"/>
        <color rgb="FFFF0000"/>
        <rFont val="微软雅黑"/>
        <charset val="134"/>
      </rPr>
      <t>*</t>
    </r>
  </si>
  <si>
    <t>预计募集资金净额（万元）</t>
  </si>
  <si>
    <r>
      <rPr>
        <sz val="11"/>
        <rFont val="微软雅黑"/>
        <charset val="134"/>
      </rPr>
      <t>最近一次增资日期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</si>
  <si>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最近一次增资数量（万股）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</si>
  <si>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最近一次增资比例（%）</t>
    </r>
    <r>
      <rPr>
        <sz val="11"/>
        <color rgb="FFFF0000"/>
        <rFont val="微软雅黑"/>
        <charset val="134"/>
      </rPr>
      <t>*</t>
    </r>
  </si>
  <si>
    <t>预计市值（亿元）</t>
  </si>
  <si>
    <r>
      <rPr>
        <sz val="11"/>
        <rFont val="微软雅黑"/>
        <charset val="134"/>
      </rPr>
      <t>上市标准</t>
    </r>
    <r>
      <rPr>
        <sz val="11"/>
        <color rgb="FFFF0000"/>
        <rFont val="微软雅黑"/>
        <charset val="134"/>
      </rPr>
      <t>*</t>
    </r>
  </si>
  <si>
    <t>重要发明专利数量（件）</t>
  </si>
  <si>
    <t>发行前股本结构（万股）</t>
  </si>
  <si>
    <r>
      <rPr>
        <sz val="11"/>
        <color indexed="8"/>
        <rFont val="微软雅黑"/>
        <charset val="134"/>
      </rPr>
      <t>发行前股本结构（万股）</t>
    </r>
    <r>
      <rPr>
        <sz val="11"/>
        <color rgb="FFFF0000"/>
        <rFont val="微软雅黑"/>
        <charset val="134"/>
      </rPr>
      <t>*</t>
    </r>
  </si>
  <si>
    <r>
      <rPr>
        <sz val="11"/>
        <color indexed="8"/>
        <rFont val="微软雅黑"/>
        <charset val="134"/>
      </rPr>
      <t>国有股东持有股份</t>
    </r>
    <r>
      <rPr>
        <sz val="11"/>
        <color rgb="FFFF0000"/>
        <rFont val="微软雅黑"/>
        <charset val="134"/>
      </rPr>
      <t>*</t>
    </r>
  </si>
  <si>
    <r>
      <rPr>
        <sz val="11"/>
        <color indexed="8"/>
        <rFont val="微软雅黑"/>
        <charset val="134"/>
      </rPr>
      <t>境内民营机构或自然人持有股份</t>
    </r>
    <r>
      <rPr>
        <sz val="11"/>
        <color rgb="FFFF0000"/>
        <rFont val="微软雅黑"/>
        <charset val="134"/>
      </rPr>
      <t>*</t>
    </r>
  </si>
  <si>
    <r>
      <rPr>
        <sz val="11"/>
        <color indexed="8"/>
        <rFont val="微软雅黑"/>
        <charset val="134"/>
      </rPr>
      <t>境外股东持有股份</t>
    </r>
    <r>
      <rPr>
        <sz val="11"/>
        <color rgb="FFFF0000"/>
        <rFont val="微软雅黑"/>
        <charset val="134"/>
      </rPr>
      <t>*</t>
    </r>
  </si>
  <si>
    <r>
      <rPr>
        <sz val="11"/>
        <color indexed="8"/>
        <rFont val="微软雅黑"/>
        <charset val="134"/>
      </rPr>
      <t>其他</t>
    </r>
    <r>
      <rPr>
        <sz val="11"/>
        <color rgb="FFFF0000"/>
        <rFont val="微软雅黑"/>
        <charset val="134"/>
      </rPr>
      <t>*</t>
    </r>
  </si>
  <si>
    <t>合计</t>
  </si>
  <si>
    <t>持股5%以上（含5%）股东信息</t>
  </si>
  <si>
    <t>持股5%以上（含5%）股东及其性质</t>
  </si>
  <si>
    <t>名称</t>
  </si>
  <si>
    <t>持股比例</t>
  </si>
  <si>
    <t>股东性质</t>
  </si>
  <si>
    <t>发行人</t>
  </si>
  <si>
    <r>
      <rPr>
        <sz val="11"/>
        <rFont val="微软雅黑"/>
        <charset val="134"/>
      </rPr>
      <t>注册地址</t>
    </r>
    <r>
      <rPr>
        <sz val="12"/>
        <color rgb="FFFF0000"/>
        <rFont val="微软雅黑"/>
        <charset val="134"/>
      </rPr>
      <t>*</t>
    </r>
  </si>
  <si>
    <t>公司网址</t>
  </si>
  <si>
    <r>
      <rPr>
        <sz val="11"/>
        <rFont val="微软雅黑"/>
        <charset val="134"/>
      </rPr>
      <t>通讯地址</t>
    </r>
    <r>
      <rPr>
        <sz val="12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</si>
  <si>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邮编</t>
    </r>
    <r>
      <rPr>
        <sz val="12"/>
        <color rgb="FFFF0000"/>
        <rFont val="微软雅黑"/>
        <charset val="134"/>
      </rPr>
      <t>*</t>
    </r>
  </si>
  <si>
    <t>职务</t>
  </si>
  <si>
    <t>姓名</t>
  </si>
  <si>
    <t>身份证号/护照号</t>
  </si>
  <si>
    <t>办公电话</t>
  </si>
  <si>
    <t>传真</t>
  </si>
  <si>
    <t>EMAIL地址</t>
  </si>
  <si>
    <t>手机</t>
  </si>
  <si>
    <r>
      <rPr>
        <sz val="11"/>
        <rFont val="微软雅黑"/>
        <charset val="134"/>
      </rPr>
      <t>董事长</t>
    </r>
    <r>
      <rPr>
        <sz val="12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</si>
  <si>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总经理</t>
    </r>
    <r>
      <rPr>
        <sz val="12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</si>
  <si>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董秘</t>
    </r>
    <r>
      <rPr>
        <sz val="12"/>
        <color rgb="FFFF0000"/>
        <rFont val="微软雅黑"/>
        <charset val="134"/>
      </rPr>
      <t>*</t>
    </r>
  </si>
  <si>
    <t>其  他</t>
  </si>
  <si>
    <t xml:space="preserve">保荐机构    </t>
  </si>
  <si>
    <r>
      <rPr>
        <sz val="11"/>
        <rFont val="微软雅黑"/>
        <charset val="134"/>
      </rPr>
      <t>保荐机构一名称（必填）</t>
    </r>
    <r>
      <rPr>
        <sz val="12"/>
        <color rgb="FFFF0000"/>
        <rFont val="微软雅黑"/>
        <charset val="134"/>
      </rPr>
      <t>*</t>
    </r>
  </si>
  <si>
    <r>
      <rPr>
        <sz val="11"/>
        <color indexed="8"/>
        <rFont val="微软雅黑"/>
        <charset val="134"/>
      </rPr>
      <t>保荐业务负责人</t>
    </r>
    <r>
      <rPr>
        <sz val="12"/>
        <color rgb="FFFF0000"/>
        <rFont val="微软雅黑"/>
        <charset val="134"/>
      </rPr>
      <t>*</t>
    </r>
  </si>
  <si>
    <r>
      <rPr>
        <sz val="11"/>
        <color indexed="8"/>
        <rFont val="微软雅黑"/>
        <charset val="134"/>
      </rPr>
      <t>保荐代表人A</t>
    </r>
    <r>
      <rPr>
        <sz val="12"/>
        <color rgb="FFFF0000"/>
        <rFont val="微软雅黑"/>
        <charset val="134"/>
      </rPr>
      <t>*</t>
    </r>
  </si>
  <si>
    <r>
      <rPr>
        <sz val="11"/>
        <color indexed="8"/>
        <rFont val="微软雅黑"/>
        <charset val="134"/>
      </rPr>
      <t>保荐代表人B</t>
    </r>
    <r>
      <rPr>
        <sz val="12"/>
        <color rgb="FFFF0000"/>
        <rFont val="微软雅黑"/>
        <charset val="134"/>
      </rPr>
      <t>*</t>
    </r>
  </si>
  <si>
    <t>项目协办人</t>
  </si>
  <si>
    <t>保荐机构二名称（选填）</t>
  </si>
  <si>
    <t>统一社会信用代码</t>
  </si>
  <si>
    <t>保荐业务负责人</t>
  </si>
  <si>
    <t>保荐代表人A</t>
  </si>
  <si>
    <t>保荐代表人B</t>
  </si>
  <si>
    <t>保荐机构三名称（选填）</t>
  </si>
  <si>
    <t xml:space="preserve">会计师事务所        </t>
  </si>
  <si>
    <r>
      <rPr>
        <sz val="11"/>
        <color indexed="8"/>
        <rFont val="微软雅黑"/>
        <charset val="134"/>
      </rPr>
      <t>会计师事务所名称</t>
    </r>
    <r>
      <rPr>
        <sz val="12"/>
        <color rgb="FFFF0000"/>
        <rFont val="微软雅黑"/>
        <charset val="134"/>
      </rPr>
      <t>*</t>
    </r>
    <r>
      <rPr>
        <sz val="11"/>
        <color indexed="8"/>
        <rFont val="微软雅黑"/>
        <charset val="134"/>
      </rPr>
      <t xml:space="preserve">  </t>
    </r>
  </si>
  <si>
    <r>
      <rPr>
        <sz val="11"/>
        <color indexed="8"/>
        <rFont val="微软雅黑"/>
        <charset val="134"/>
      </rPr>
      <t>会计师事务所负责人</t>
    </r>
    <r>
      <rPr>
        <sz val="12"/>
        <color rgb="FFFF0000"/>
        <rFont val="微软雅黑"/>
        <charset val="134"/>
      </rPr>
      <t>*</t>
    </r>
  </si>
  <si>
    <r>
      <rPr>
        <sz val="11"/>
        <color indexed="8"/>
        <rFont val="微软雅黑"/>
        <charset val="134"/>
      </rPr>
      <t>签字会计师A</t>
    </r>
    <r>
      <rPr>
        <sz val="12"/>
        <color rgb="FFFF0000"/>
        <rFont val="微软雅黑"/>
        <charset val="134"/>
      </rPr>
      <t>*</t>
    </r>
  </si>
  <si>
    <r>
      <rPr>
        <sz val="11"/>
        <color indexed="8"/>
        <rFont val="微软雅黑"/>
        <charset val="134"/>
      </rPr>
      <t>签字会计师B</t>
    </r>
    <r>
      <rPr>
        <sz val="11"/>
        <color rgb="FFFF0000"/>
        <rFont val="微软雅黑"/>
        <charset val="134"/>
      </rPr>
      <t>*</t>
    </r>
  </si>
  <si>
    <t>签字会计师C（或有）</t>
  </si>
  <si>
    <t xml:space="preserve">律师事务所                                    </t>
  </si>
  <si>
    <r>
      <rPr>
        <sz val="11"/>
        <color indexed="8"/>
        <rFont val="微软雅黑"/>
        <charset val="134"/>
      </rPr>
      <t>律师事务所名称</t>
    </r>
    <r>
      <rPr>
        <sz val="12"/>
        <color rgb="FFFF0000"/>
        <rFont val="微软雅黑"/>
        <charset val="134"/>
      </rPr>
      <t>*</t>
    </r>
  </si>
  <si>
    <r>
      <rPr>
        <sz val="11"/>
        <color indexed="8"/>
        <rFont val="微软雅黑"/>
        <charset val="134"/>
      </rPr>
      <t>律师事务所负责人</t>
    </r>
    <r>
      <rPr>
        <sz val="12"/>
        <color rgb="FFFF0000"/>
        <rFont val="微软雅黑"/>
        <charset val="134"/>
      </rPr>
      <t>*</t>
    </r>
  </si>
  <si>
    <r>
      <rPr>
        <sz val="11"/>
        <color indexed="8"/>
        <rFont val="微软雅黑"/>
        <charset val="134"/>
      </rPr>
      <t>签字律师A</t>
    </r>
    <r>
      <rPr>
        <sz val="12"/>
        <color rgb="FFFF0000"/>
        <rFont val="微软雅黑"/>
        <charset val="134"/>
      </rPr>
      <t>*</t>
    </r>
  </si>
  <si>
    <r>
      <rPr>
        <sz val="11"/>
        <color indexed="8"/>
        <rFont val="微软雅黑"/>
        <charset val="134"/>
      </rPr>
      <t>签字律师B</t>
    </r>
    <r>
      <rPr>
        <sz val="12"/>
        <color rgb="FFFF0000"/>
        <rFont val="微软雅黑"/>
        <charset val="134"/>
      </rPr>
      <t>*</t>
    </r>
  </si>
  <si>
    <t>签字律师C（或有）</t>
  </si>
  <si>
    <t>资产评估机构</t>
  </si>
  <si>
    <t>资产评估机构一（选填）</t>
  </si>
  <si>
    <t>评估事务所负责人</t>
  </si>
  <si>
    <t>签字评估师A</t>
  </si>
  <si>
    <t>签字评估师B</t>
  </si>
  <si>
    <t>签字评估师C（或有）</t>
  </si>
  <si>
    <t>资产评估机构二（选填）</t>
  </si>
  <si>
    <t>（1）合并资产负债表主要数据    单位：万元</t>
  </si>
  <si>
    <t>最近一期（末）（如有）</t>
  </si>
  <si>
    <t>最近一年（末）</t>
  </si>
  <si>
    <t>申报期第二年（末）</t>
  </si>
  <si>
    <t>申报期第一年（末）</t>
  </si>
  <si>
    <r>
      <rPr>
        <sz val="11"/>
        <rFont val="微软雅黑"/>
        <charset val="134"/>
      </rPr>
      <t>项目-1（审计基准日）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</si>
  <si>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流动资产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</si>
  <si>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非流动资产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</si>
  <si>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资产总额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</si>
  <si>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流动负债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</si>
  <si>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非流动负债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</si>
  <si>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负债总额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</si>
  <si>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净资产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</si>
  <si>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归属于母公司所有者权益</t>
    </r>
    <r>
      <rPr>
        <sz val="11"/>
        <color rgb="FFFF0000"/>
        <rFont val="微软雅黑"/>
        <charset val="134"/>
      </rPr>
      <t>*</t>
    </r>
  </si>
  <si>
    <t>（2）合并利润表主要数据            单位：万元</t>
  </si>
  <si>
    <r>
      <rPr>
        <sz val="11"/>
        <rFont val="微软雅黑"/>
        <charset val="134"/>
      </rPr>
      <t>项目-2</t>
    </r>
    <r>
      <rPr>
        <sz val="11"/>
        <color rgb="FFFF0000"/>
        <rFont val="微软雅黑"/>
        <charset val="134"/>
      </rPr>
      <t>*</t>
    </r>
  </si>
  <si>
    <t/>
  </si>
  <si>
    <r>
      <rPr>
        <sz val="11"/>
        <rFont val="微软雅黑"/>
        <charset val="134"/>
      </rPr>
      <t>营业收入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</si>
  <si>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营业利润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</si>
  <si>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综合毛利率（%）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</si>
  <si>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管理费用/营业收入（%）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</si>
  <si>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销售费用/营业收入（%）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</si>
  <si>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财务费用/营业收入（%）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</si>
  <si>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利润总额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</si>
  <si>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净利润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</si>
  <si>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综合收益总额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</si>
  <si>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归属于母公司所有者的净利润</t>
    </r>
    <r>
      <rPr>
        <sz val="11"/>
        <color rgb="FFFF0000"/>
        <rFont val="微软雅黑"/>
        <charset val="134"/>
      </rPr>
      <t>*</t>
    </r>
  </si>
  <si>
    <t>扣除所得税影响后的非经常性损益</t>
  </si>
  <si>
    <r>
      <rPr>
        <sz val="11"/>
        <rFont val="微软雅黑"/>
        <charset val="134"/>
      </rPr>
      <t>扣除非经常性损益后的归属于母公司所有者净利润</t>
    </r>
    <r>
      <rPr>
        <sz val="11"/>
        <color rgb="FFFF0000"/>
        <rFont val="微软雅黑"/>
        <charset val="134"/>
      </rPr>
      <t>*</t>
    </r>
  </si>
  <si>
    <t>（3）合并现金流量表主要数据         单位：万元</t>
  </si>
  <si>
    <r>
      <rPr>
        <sz val="11"/>
        <rFont val="微软雅黑"/>
        <charset val="134"/>
      </rPr>
      <t>项目-3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</si>
  <si>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经营活动产生的现金流量净额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</si>
  <si>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投资活动产生的现金流量净额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</si>
  <si>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筹资活动产生的现金流量净额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</si>
  <si>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现金及现金等价物净增加额</t>
    </r>
    <r>
      <rPr>
        <sz val="11"/>
        <color rgb="FFFF0000"/>
        <rFont val="微软雅黑"/>
        <charset val="134"/>
      </rPr>
      <t>*</t>
    </r>
  </si>
  <si>
    <t>（4）最近三年一期主要财务指标表</t>
  </si>
  <si>
    <r>
      <rPr>
        <sz val="11"/>
        <rFont val="微软雅黑"/>
        <charset val="134"/>
      </rPr>
      <t>项目-4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</si>
  <si>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流动比率（倍）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</si>
  <si>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速动比率（倍）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</si>
  <si>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资产负债率（母公司报表）（%）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</si>
  <si>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资产负债率（合并报表）（%）</t>
    </r>
    <r>
      <rPr>
        <sz val="11"/>
        <color rgb="FFFF0000"/>
        <rFont val="微软雅黑"/>
        <charset val="134"/>
      </rPr>
      <t>*</t>
    </r>
  </si>
  <si>
    <t>利息保障倍数（倍）</t>
  </si>
  <si>
    <r>
      <rPr>
        <sz val="11"/>
        <rFont val="微软雅黑"/>
        <charset val="134"/>
      </rPr>
      <t>应收账款周转率（次）</t>
    </r>
    <r>
      <rPr>
        <sz val="11"/>
        <color rgb="FFFF0000"/>
        <rFont val="微软雅黑"/>
        <charset val="134"/>
      </rPr>
      <t>*</t>
    </r>
  </si>
  <si>
    <t>存货周转率（次）</t>
  </si>
  <si>
    <r>
      <rPr>
        <sz val="11"/>
        <rFont val="微软雅黑"/>
        <charset val="134"/>
      </rPr>
      <t>研发投入/营业收入（%）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</si>
  <si>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现金分红（万元）</t>
    </r>
    <r>
      <rPr>
        <sz val="11"/>
        <color rgb="FFFF0000"/>
        <rFont val="微软雅黑"/>
        <charset val="134"/>
      </rPr>
      <t>*</t>
    </r>
  </si>
  <si>
    <t>每股净资产（元）</t>
  </si>
  <si>
    <t>每股经营活动现金流量（元）</t>
  </si>
  <si>
    <t>每股净现金流量（元）</t>
  </si>
  <si>
    <t>基本每股收益（元）</t>
  </si>
  <si>
    <t>稀释每股收益（元）</t>
  </si>
  <si>
    <r>
      <rPr>
        <sz val="11"/>
        <rFont val="微软雅黑"/>
        <charset val="134"/>
      </rPr>
      <t>加权平均净资产收益率（扣除非经常性损益前）（%）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</si>
  <si>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加权平均净资产收益率（扣除非经常性损益后）（%）</t>
    </r>
    <r>
      <rPr>
        <sz val="11"/>
        <color rgb="FFFF0000"/>
        <rFont val="微软雅黑"/>
        <charset val="134"/>
      </rPr>
      <t>*</t>
    </r>
  </si>
  <si>
    <t>（5） 其他指标</t>
  </si>
  <si>
    <r>
      <rPr>
        <sz val="11"/>
        <rFont val="微软雅黑"/>
        <charset val="134"/>
      </rPr>
      <t>项目-5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</si>
  <si>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研发人员数量（硕士及以上学历）（人）</t>
    </r>
    <r>
      <rPr>
        <sz val="11"/>
        <color rgb="FFFF0000"/>
        <rFont val="微软雅黑"/>
        <charset val="134"/>
      </rPr>
      <t>*</t>
    </r>
  </si>
  <si>
    <r>
      <rPr>
        <sz val="11"/>
        <rFont val="微软雅黑"/>
        <charset val="134"/>
      </rPr>
      <t>发明专利数量 （件）</t>
    </r>
    <r>
      <rPr>
        <sz val="11"/>
        <color rgb="FFFF0000"/>
        <rFont val="微软雅黑"/>
        <charset val="134"/>
      </rPr>
      <t>*</t>
    </r>
  </si>
  <si>
    <t>主要产品市场占有率</t>
  </si>
  <si>
    <t>序号</t>
  </si>
  <si>
    <t>产品名称</t>
  </si>
  <si>
    <t>报告期</t>
  </si>
  <si>
    <t>报告期营业收入占比
（%）</t>
  </si>
  <si>
    <t>国内市场占有率（%）</t>
  </si>
  <si>
    <t>国内市场占有率排名</t>
  </si>
  <si>
    <t>国际市场占有率（%）</t>
  </si>
  <si>
    <t>国际市场占有率排名</t>
  </si>
  <si>
    <t>重大科技专场</t>
  </si>
  <si>
    <t>项目名称</t>
  </si>
  <si>
    <t>项目开始时间</t>
  </si>
  <si>
    <t>项目状态</t>
  </si>
  <si>
    <t>参与角色</t>
  </si>
  <si>
    <t>项目总经费（万元）</t>
  </si>
  <si>
    <t>财政拨款经费
（万元）</t>
  </si>
  <si>
    <t>发行人自筹经费
（万元）</t>
  </si>
  <si>
    <t>备注</t>
  </si>
  <si>
    <t>参与标准制定情况</t>
  </si>
  <si>
    <t>参与制定标准名称</t>
  </si>
  <si>
    <t>标准层级</t>
  </si>
  <si>
    <t>标准状态</t>
  </si>
  <si>
    <t>产品实现进口代替情况</t>
  </si>
  <si>
    <t>初次上市时间</t>
  </si>
  <si>
    <t>国内市场占有率
（%）</t>
  </si>
  <si>
    <t>上市前进口产品市场占有率（%）</t>
  </si>
  <si>
    <t>目前进口产品市场占有率（%）</t>
  </si>
  <si>
    <t>实现替代情况描述</t>
  </si>
  <si>
    <t>法人或自然人名称（包括全称及简称）</t>
  </si>
  <si>
    <t>职位（法人填写：发行人/控股股东/实际控制人，自然人填写：董事/董秘/监事/高管/财务负责人）</t>
  </si>
  <si>
    <t>代码（法人填写股票代码、统一社会信用代码，自然人填写身份证号）</t>
  </si>
  <si>
    <t>任职机构（法人不填，自然人填写所任职的单位）</t>
  </si>
  <si>
    <t>InnerVersion</t>
  </si>
  <si>
    <t>Choice</t>
  </si>
  <si>
    <r>
      <rPr>
        <sz val="12"/>
        <rFont val="宋体"/>
        <charset val="134"/>
      </rPr>
      <t>V</t>
    </r>
    <r>
      <rPr>
        <sz val="12"/>
        <rFont val="宋体"/>
        <charset val="134"/>
      </rPr>
      <t>alue</t>
    </r>
  </si>
  <si>
    <t>SetUpType</t>
  </si>
  <si>
    <t>Value</t>
  </si>
  <si>
    <t>CompType</t>
  </si>
  <si>
    <r>
      <rPr>
        <sz val="12"/>
        <rFont val="宋体"/>
        <charset val="134"/>
      </rPr>
      <t>StockArchitec</t>
    </r>
    <r>
      <rPr>
        <sz val="12"/>
        <rFont val="宋体"/>
        <charset val="134"/>
      </rPr>
      <t>ture</t>
    </r>
  </si>
  <si>
    <r>
      <rPr>
        <sz val="12"/>
        <rFont val="宋体"/>
        <charset val="134"/>
      </rPr>
      <t>C</t>
    </r>
    <r>
      <rPr>
        <sz val="12"/>
        <rFont val="宋体"/>
        <charset val="134"/>
      </rPr>
      <t>ode</t>
    </r>
  </si>
  <si>
    <t>sponsorRole</t>
  </si>
  <si>
    <t>Code</t>
  </si>
  <si>
    <t>standardLEvel</t>
  </si>
  <si>
    <t>accountRule</t>
  </si>
  <si>
    <t>accountCode</t>
  </si>
  <si>
    <t>listingStandards</t>
  </si>
  <si>
    <t>listingStandardsCode</t>
  </si>
  <si>
    <t>v_1_0_2</t>
  </si>
  <si>
    <t>是</t>
  </si>
  <si>
    <t>发起设立</t>
  </si>
  <si>
    <t>1</t>
  </si>
  <si>
    <t>国有控股</t>
  </si>
  <si>
    <t>国有股东持有股份</t>
  </si>
  <si>
    <t>独立承担</t>
  </si>
  <si>
    <t>国际</t>
  </si>
  <si>
    <t>中国企业会计准则</t>
  </si>
  <si>
    <t>01</t>
  </si>
  <si>
    <t>一般企业：（1）净利润</t>
  </si>
  <si>
    <t>否</t>
  </si>
  <si>
    <t>募集设立</t>
  </si>
  <si>
    <t>2</t>
  </si>
  <si>
    <t>集体控股</t>
  </si>
  <si>
    <t>集体股东持有股份</t>
  </si>
  <si>
    <t>牵头</t>
  </si>
  <si>
    <t>全国</t>
  </si>
  <si>
    <t>等效会计准则</t>
  </si>
  <si>
    <t>02</t>
  </si>
  <si>
    <t>一般企业：（2）市值+净利润+营业收入</t>
  </si>
  <si>
    <t>民营企业</t>
  </si>
  <si>
    <t>3</t>
  </si>
  <si>
    <t>境内民营机构或自然人持有股份</t>
  </si>
  <si>
    <t>参与</t>
  </si>
  <si>
    <t>行业</t>
  </si>
  <si>
    <t>国际财务报告准则</t>
  </si>
  <si>
    <t>03</t>
  </si>
  <si>
    <t>一般企业：（3）市值+营业收入</t>
  </si>
  <si>
    <t>外商投资企业</t>
  </si>
  <si>
    <t>4</t>
  </si>
  <si>
    <t>境外股东持有股份</t>
  </si>
  <si>
    <t>省级</t>
  </si>
  <si>
    <t>美国会计准则</t>
  </si>
  <si>
    <t>04</t>
  </si>
  <si>
    <t>红筹企业：（1）市值+净利润</t>
  </si>
  <si>
    <t>其他</t>
  </si>
  <si>
    <t>5</t>
  </si>
  <si>
    <t>红筹企业：（2）市值+净利润+营业收入</t>
  </si>
  <si>
    <t>05</t>
  </si>
  <si>
    <t>特殊股权结构：（1）市值+净利润</t>
  </si>
  <si>
    <t>06</t>
  </si>
  <si>
    <t>特殊股权结构：（2）市值+净利润+营业收入</t>
  </si>
  <si>
    <t>07</t>
  </si>
  <si>
    <t>上市标准</t>
  </si>
  <si>
    <t>采用的会计准则</t>
  </si>
  <si>
    <t>复选框</t>
  </si>
  <si>
    <t>证监会一级行业字典名称</t>
  </si>
  <si>
    <t>申万一级行业字典名称</t>
  </si>
  <si>
    <t>省代码</t>
  </si>
  <si>
    <t>市代码</t>
  </si>
  <si>
    <t>申万一级行业代码</t>
  </si>
  <si>
    <t>申万二级行业代码</t>
  </si>
  <si>
    <t>证监会一级行业代码</t>
  </si>
  <si>
    <t>证监会二级行业代码</t>
  </si>
  <si>
    <t>公司设立时间-文本格式</t>
  </si>
  <si>
    <t>最近一期审计基准日-文本格式</t>
  </si>
  <si>
    <t>最近一次增资日期-文本格式</t>
  </si>
  <si>
    <t>公司类型代码</t>
  </si>
  <si>
    <t>辖区证监局代码</t>
  </si>
  <si>
    <t>审计基准日</t>
  </si>
  <si>
    <t>一年前整体情况</t>
  </si>
  <si>
    <t>两年前整体情况</t>
  </si>
  <si>
    <t>三年前整体情况</t>
  </si>
  <si>
    <t>项目基本情况表数据字典</t>
  </si>
  <si>
    <t>Name</t>
  </si>
  <si>
    <t>Data Type</t>
  </si>
  <si>
    <t>Length</t>
  </si>
  <si>
    <t>Check</t>
  </si>
  <si>
    <t>申报企业（全称）*</t>
  </si>
  <si>
    <t>companyName</t>
  </si>
  <si>
    <t>String</t>
  </si>
  <si>
    <t>申报企业（简称）*</t>
  </si>
  <si>
    <t>companyShortName</t>
  </si>
  <si>
    <t>companyUsedName</t>
  </si>
  <si>
    <t>公司类型*</t>
  </si>
  <si>
    <t>companyType</t>
  </si>
  <si>
    <t>统一社会信用代码*</t>
  </si>
  <si>
    <t>socialCreditCode</t>
  </si>
  <si>
    <t>高新技术企业*</t>
  </si>
  <si>
    <t>isAdvancedTechnology</t>
  </si>
  <si>
    <t>证监会行业*</t>
  </si>
  <si>
    <t>csrcIndustryFirstCode</t>
  </si>
  <si>
    <t>证监会行业细分*</t>
  </si>
  <si>
    <t>csrcIndustrySecondCode</t>
  </si>
  <si>
    <t>申万一级行业*</t>
  </si>
  <si>
    <t>swIndustryFirstCode</t>
  </si>
  <si>
    <t>申万二级行业*</t>
  </si>
  <si>
    <t>swIndustrySecondCode</t>
  </si>
  <si>
    <t>主营业务*</t>
  </si>
  <si>
    <t>mainBusiness</t>
  </si>
  <si>
    <t>公司设立时间*</t>
  </si>
  <si>
    <t>setupDate</t>
  </si>
  <si>
    <t>date</t>
  </si>
  <si>
    <t>是否发行CDR*</t>
  </si>
  <si>
    <t>isCdr</t>
  </si>
  <si>
    <t>是否红筹*</t>
  </si>
  <si>
    <t>isRedchipComp</t>
  </si>
  <si>
    <t>是否特殊股权架构*</t>
  </si>
  <si>
    <t>isSpecailStockStructure</t>
  </si>
  <si>
    <t>employeeShareholding</t>
  </si>
  <si>
    <t>注册地（省市或境外）*</t>
  </si>
  <si>
    <t>provinceCode</t>
  </si>
  <si>
    <t>注册地（市区县）*</t>
  </si>
  <si>
    <t>cityCode</t>
  </si>
  <si>
    <t>localSrbcCode</t>
  </si>
  <si>
    <t>法人代表*</t>
  </si>
  <si>
    <t>legalRepresentativeName</t>
  </si>
  <si>
    <t>actualController</t>
  </si>
  <si>
    <t>actualControllerShareholdingRatio</t>
  </si>
  <si>
    <t>decimal(15,4)</t>
  </si>
  <si>
    <t>最近一期审计基准日*</t>
  </si>
  <si>
    <t>lastestAuditEndDate</t>
  </si>
  <si>
    <t>拟发行量（万股）*</t>
  </si>
  <si>
    <t>planIssueShare</t>
  </si>
  <si>
    <t>decimal(18,0)</t>
  </si>
  <si>
    <t>发行前总股本（万股）*</t>
  </si>
  <si>
    <t>beforeListingShare</t>
  </si>
  <si>
    <t>拟发行股数占发行后总股本比例（%）*</t>
  </si>
  <si>
    <t>issueShareProp</t>
  </si>
  <si>
    <t>预计募集资金总额（万元）*</t>
  </si>
  <si>
    <t>planFinancingTotalCapital</t>
  </si>
  <si>
    <t>decimal(20,4)</t>
  </si>
  <si>
    <t>planFinancingNetCapital</t>
  </si>
  <si>
    <t>最近一次增资日期*</t>
  </si>
  <si>
    <t>lastestCapitalIncreaseDate</t>
  </si>
  <si>
    <t>最近一次增资数量（万股）*</t>
  </si>
  <si>
    <t>lastestCapitalIncreaseQuantity</t>
  </si>
  <si>
    <t>最近一次增资比例（%）*</t>
  </si>
  <si>
    <t>lastestCapitalIncreaseRatio</t>
  </si>
  <si>
    <t>采用的会计准则*</t>
  </si>
  <si>
    <t>adoptedAccountCriteria</t>
  </si>
  <si>
    <t>char(2)</t>
  </si>
  <si>
    <t>estimatedMKTValue</t>
  </si>
  <si>
    <t>上市标准*</t>
  </si>
  <si>
    <t>listingCriteria</t>
  </si>
  <si>
    <t>mainPatentCount</t>
  </si>
  <si>
    <t>国有股东持有股份*</t>
  </si>
  <si>
    <t>decimal(18,4)</t>
  </si>
  <si>
    <t>境内民营机构或自然人持有股份*</t>
  </si>
  <si>
    <t>境外股东持有股份*</t>
  </si>
  <si>
    <t>其他*</t>
  </si>
  <si>
    <t>capitalVolume</t>
  </si>
  <si>
    <t>股东名称</t>
  </si>
  <si>
    <t>shareholderName</t>
  </si>
  <si>
    <t>varchar(512)</t>
  </si>
  <si>
    <t>股东持股比例</t>
  </si>
  <si>
    <t>shareHoldingRatio</t>
  </si>
  <si>
    <t>decimal(8,4)</t>
  </si>
  <si>
    <t>shareholderKindName</t>
  </si>
  <si>
    <t>注册地址*</t>
  </si>
  <si>
    <t>registerAddress</t>
  </si>
  <si>
    <t>website</t>
  </si>
  <si>
    <t>通讯地址*</t>
  </si>
  <si>
    <t>contactAddress</t>
  </si>
  <si>
    <t>邮编*</t>
  </si>
  <si>
    <t>postcode</t>
  </si>
  <si>
    <t>name</t>
  </si>
  <si>
    <t>idNumber</t>
  </si>
  <si>
    <t>telephone</t>
  </si>
  <si>
    <t>fax</t>
  </si>
  <si>
    <t>email</t>
  </si>
  <si>
    <t>mobile</t>
  </si>
  <si>
    <t>position</t>
  </si>
  <si>
    <t>code</t>
  </si>
  <si>
    <t>institutionName</t>
  </si>
  <si>
    <t>currYearValue</t>
  </si>
  <si>
    <t>numeric(20,4)</t>
  </si>
  <si>
    <t>lastYearValue</t>
  </si>
  <si>
    <t>申报期第二年(末)</t>
  </si>
  <si>
    <t>yearBeforeLastValue</t>
  </si>
  <si>
    <t>threeYearsAgoValue</t>
  </si>
  <si>
    <t>联系方式页必填项标记</t>
  </si>
  <si>
    <t>董事长*</t>
  </si>
  <si>
    <t>总经理*</t>
  </si>
  <si>
    <t>董秘*</t>
  </si>
  <si>
    <t>保荐机构一名称（必填）*</t>
  </si>
  <si>
    <t>保荐业务负责人*</t>
  </si>
  <si>
    <t>保荐代表人A*</t>
  </si>
  <si>
    <t>保荐代表人B*</t>
  </si>
  <si>
    <t xml:space="preserve">会计师事务所名称*  </t>
  </si>
  <si>
    <r>
      <rPr>
        <sz val="12"/>
        <color rgb="FF000000"/>
        <rFont val="微软雅黑"/>
        <charset val="134"/>
      </rPr>
      <t>会计师事务所负责人</t>
    </r>
    <r>
      <rPr>
        <sz val="12"/>
        <color rgb="FFFF0000"/>
        <rFont val="微软雅黑"/>
        <charset val="134"/>
      </rPr>
      <t>*</t>
    </r>
  </si>
  <si>
    <r>
      <rPr>
        <sz val="12"/>
        <color rgb="FF000000"/>
        <rFont val="微软雅黑"/>
        <charset val="134"/>
      </rPr>
      <t>签字会计师A</t>
    </r>
    <r>
      <rPr>
        <sz val="12"/>
        <color rgb="FFFF0000"/>
        <rFont val="微软雅黑"/>
        <charset val="134"/>
      </rPr>
      <t>*</t>
    </r>
  </si>
  <si>
    <r>
      <rPr>
        <sz val="12"/>
        <color rgb="FF000000"/>
        <rFont val="微软雅黑"/>
        <charset val="134"/>
      </rPr>
      <t>签字会计师B</t>
    </r>
    <r>
      <rPr>
        <sz val="11"/>
        <color rgb="FFFF0000"/>
        <rFont val="微软雅黑"/>
        <charset val="134"/>
      </rPr>
      <t>*</t>
    </r>
  </si>
  <si>
    <t>律师事务所名称*</t>
  </si>
  <si>
    <r>
      <rPr>
        <sz val="12"/>
        <color rgb="FF000000"/>
        <rFont val="微软雅黑"/>
        <charset val="134"/>
      </rPr>
      <t>律师事务所负责人</t>
    </r>
    <r>
      <rPr>
        <sz val="12"/>
        <color rgb="FFFF0000"/>
        <rFont val="微软雅黑"/>
        <charset val="134"/>
      </rPr>
      <t>*</t>
    </r>
  </si>
  <si>
    <r>
      <rPr>
        <sz val="12"/>
        <color rgb="FF000000"/>
        <rFont val="微软雅黑"/>
        <charset val="134"/>
      </rPr>
      <t>签字律师A</t>
    </r>
    <r>
      <rPr>
        <sz val="12"/>
        <color rgb="FFFF0000"/>
        <rFont val="微软雅黑"/>
        <charset val="134"/>
      </rPr>
      <t>*</t>
    </r>
  </si>
  <si>
    <r>
      <rPr>
        <sz val="12"/>
        <color rgb="FF000000"/>
        <rFont val="微软雅黑"/>
        <charset val="134"/>
      </rPr>
      <t>签字律师B</t>
    </r>
    <r>
      <rPr>
        <sz val="12"/>
        <color rgb="FFFF0000"/>
        <rFont val="微软雅黑"/>
        <charset val="134"/>
      </rPr>
      <t>*</t>
    </r>
  </si>
  <si>
    <t>保荐机构一_统一社会信用代码*</t>
  </si>
  <si>
    <t>保荐机构二_统一社会信用代码</t>
  </si>
  <si>
    <t>保荐机构三_统一社会信用代码</t>
  </si>
  <si>
    <t>会计师事务所_统一社会信用代码</t>
  </si>
  <si>
    <t>律师事务所_统一社会信用代码</t>
  </si>
  <si>
    <t>资产评估机构一_统一社会信用代码</t>
  </si>
  <si>
    <t>资产评估机构二_统一社会信用代码</t>
  </si>
  <si>
    <t>省</t>
  </si>
  <si>
    <t>北京</t>
  </si>
  <si>
    <t>天津</t>
  </si>
  <si>
    <t>河北</t>
  </si>
  <si>
    <t>山西</t>
  </si>
  <si>
    <t>内蒙古</t>
  </si>
  <si>
    <t>辽宁</t>
  </si>
  <si>
    <t>吉林</t>
  </si>
  <si>
    <t>黑龙江</t>
  </si>
  <si>
    <t>上海</t>
  </si>
  <si>
    <t>江苏</t>
  </si>
  <si>
    <t>浙江</t>
  </si>
  <si>
    <t>安徽</t>
  </si>
  <si>
    <t>福建</t>
  </si>
  <si>
    <t>江西</t>
  </si>
  <si>
    <t>山东</t>
  </si>
  <si>
    <t>河南</t>
  </si>
  <si>
    <t>湖北</t>
  </si>
  <si>
    <t>湖南</t>
  </si>
  <si>
    <t>广东</t>
  </si>
  <si>
    <t>广西</t>
  </si>
  <si>
    <t>海南</t>
  </si>
  <si>
    <t>重庆</t>
  </si>
  <si>
    <t>四川</t>
  </si>
  <si>
    <t>贵州</t>
  </si>
  <si>
    <t>云南</t>
  </si>
  <si>
    <t>西藏</t>
  </si>
  <si>
    <t>陕西</t>
  </si>
  <si>
    <t>甘肃</t>
  </si>
  <si>
    <t>青海</t>
  </si>
  <si>
    <t>宁夏</t>
  </si>
  <si>
    <t>新疆</t>
  </si>
  <si>
    <t>中国香港</t>
  </si>
  <si>
    <t>中国澳门</t>
  </si>
  <si>
    <t>中国台湾</t>
  </si>
  <si>
    <t>境外地区</t>
  </si>
  <si>
    <t>110000</t>
  </si>
  <si>
    <t>昌平区</t>
  </si>
  <si>
    <t>110114</t>
  </si>
  <si>
    <t>东城区</t>
  </si>
  <si>
    <t>和平区</t>
  </si>
  <si>
    <t>石家庄市</t>
  </si>
  <si>
    <t>太原市</t>
  </si>
  <si>
    <t>呼和浩特市</t>
  </si>
  <si>
    <t>沈阳市</t>
  </si>
  <si>
    <t>长春市</t>
  </si>
  <si>
    <t>哈尔滨市</t>
  </si>
  <si>
    <t>黄浦区</t>
  </si>
  <si>
    <t>南京市</t>
  </si>
  <si>
    <t>杭州市</t>
  </si>
  <si>
    <t>合肥市</t>
  </si>
  <si>
    <t>福州市</t>
  </si>
  <si>
    <t>南昌市</t>
  </si>
  <si>
    <t>济南市</t>
  </si>
  <si>
    <t>郑州市</t>
  </si>
  <si>
    <t>武汉市</t>
  </si>
  <si>
    <t>长沙市</t>
  </si>
  <si>
    <t>广州市</t>
  </si>
  <si>
    <t>南宁市</t>
  </si>
  <si>
    <t>海口市</t>
  </si>
  <si>
    <t>万州区</t>
  </si>
  <si>
    <t>成都市</t>
  </si>
  <si>
    <t>贵阳市</t>
  </si>
  <si>
    <t>昆明市</t>
  </si>
  <si>
    <t>拉萨市</t>
  </si>
  <si>
    <t>西安市</t>
  </si>
  <si>
    <t>兰州市</t>
  </si>
  <si>
    <t>西宁市</t>
  </si>
  <si>
    <t>银川市</t>
  </si>
  <si>
    <t>乌鲁木齐市</t>
  </si>
  <si>
    <t>120000</t>
  </si>
  <si>
    <t>朝阳区</t>
  </si>
  <si>
    <t>110105</t>
  </si>
  <si>
    <t>西城区</t>
  </si>
  <si>
    <t>河东区</t>
  </si>
  <si>
    <t>唐山市</t>
  </si>
  <si>
    <t>大同市</t>
  </si>
  <si>
    <t>包头市</t>
  </si>
  <si>
    <t>大连市</t>
  </si>
  <si>
    <t>吉林市</t>
  </si>
  <si>
    <t>齐齐哈尔市</t>
  </si>
  <si>
    <t>卢湾区</t>
  </si>
  <si>
    <t>无锡市</t>
  </si>
  <si>
    <t>宁波市</t>
  </si>
  <si>
    <t>芜湖市</t>
  </si>
  <si>
    <t>厦门市</t>
  </si>
  <si>
    <t>景德镇市</t>
  </si>
  <si>
    <t>青岛市</t>
  </si>
  <si>
    <t>开封市</t>
  </si>
  <si>
    <t>黄石市</t>
  </si>
  <si>
    <t>株洲市</t>
  </si>
  <si>
    <t>韶关市</t>
  </si>
  <si>
    <t>柳州市</t>
  </si>
  <si>
    <t>三亚市</t>
  </si>
  <si>
    <t>涪陵区</t>
  </si>
  <si>
    <t>自贡市</t>
  </si>
  <si>
    <t>六盘水市</t>
  </si>
  <si>
    <t>曲靖市</t>
  </si>
  <si>
    <t>日喀则市</t>
  </si>
  <si>
    <t>铜川市</t>
  </si>
  <si>
    <t>嘉峪关市</t>
  </si>
  <si>
    <t>海东市</t>
  </si>
  <si>
    <t>石嘴山市</t>
  </si>
  <si>
    <t>克拉玛依市</t>
  </si>
  <si>
    <t>130000</t>
  </si>
  <si>
    <t>崇文区</t>
  </si>
  <si>
    <t>110103</t>
  </si>
  <si>
    <t>河西区</t>
  </si>
  <si>
    <t>秦皇岛市</t>
  </si>
  <si>
    <t>阳泉市</t>
  </si>
  <si>
    <t>乌海市</t>
  </si>
  <si>
    <t>鞍山市</t>
  </si>
  <si>
    <t>四平市</t>
  </si>
  <si>
    <t>鸡西市</t>
  </si>
  <si>
    <t>徐汇区</t>
  </si>
  <si>
    <t>徐州市</t>
  </si>
  <si>
    <t>温州市</t>
  </si>
  <si>
    <t>蚌埠市</t>
  </si>
  <si>
    <t>莆田市</t>
  </si>
  <si>
    <t>萍乡市</t>
  </si>
  <si>
    <t>淄博市</t>
  </si>
  <si>
    <t>洛阳市</t>
  </si>
  <si>
    <t>十堰市</t>
  </si>
  <si>
    <t>湘潭市</t>
  </si>
  <si>
    <t>深圳市</t>
  </si>
  <si>
    <t>桂林市</t>
  </si>
  <si>
    <t>三沙市</t>
  </si>
  <si>
    <t>渝中区</t>
  </si>
  <si>
    <t>攀枝花市</t>
  </si>
  <si>
    <t>遵义市</t>
  </si>
  <si>
    <t>玉溪市</t>
  </si>
  <si>
    <t>昌都市</t>
  </si>
  <si>
    <t>宝鸡市</t>
  </si>
  <si>
    <t>金昌市</t>
  </si>
  <si>
    <t>海北藏族自治州</t>
  </si>
  <si>
    <t>吴忠市</t>
  </si>
  <si>
    <t>吐鲁番市</t>
  </si>
  <si>
    <t>140000</t>
  </si>
  <si>
    <t>大兴区</t>
  </si>
  <si>
    <t>110115</t>
  </si>
  <si>
    <t>宣武区</t>
  </si>
  <si>
    <t>南开区</t>
  </si>
  <si>
    <t>邯郸市</t>
  </si>
  <si>
    <t>长治市</t>
  </si>
  <si>
    <t>赤峰市</t>
  </si>
  <si>
    <t>抚顺市</t>
  </si>
  <si>
    <t>辽源市</t>
  </si>
  <si>
    <t>鹤岗市</t>
  </si>
  <si>
    <t>长宁区</t>
  </si>
  <si>
    <t>常州市</t>
  </si>
  <si>
    <t>嘉兴市</t>
  </si>
  <si>
    <t>淮南市</t>
  </si>
  <si>
    <t>三明市</t>
  </si>
  <si>
    <t>九江市</t>
  </si>
  <si>
    <t>枣庄市</t>
  </si>
  <si>
    <t>平顶山市</t>
  </si>
  <si>
    <t>宜昌市</t>
  </si>
  <si>
    <t>衡阳市</t>
  </si>
  <si>
    <t>珠海市</t>
  </si>
  <si>
    <t>梧州市</t>
  </si>
  <si>
    <t>五指山市</t>
  </si>
  <si>
    <t>大渡口区</t>
  </si>
  <si>
    <t>泸州市</t>
  </si>
  <si>
    <t>安顺市</t>
  </si>
  <si>
    <t>保山市</t>
  </si>
  <si>
    <t>林芝市</t>
  </si>
  <si>
    <t>咸阳市</t>
  </si>
  <si>
    <t>白银市</t>
  </si>
  <si>
    <t>黄南藏族自治州</t>
  </si>
  <si>
    <t>固原市</t>
  </si>
  <si>
    <t>哈密市</t>
  </si>
  <si>
    <t>150000</t>
  </si>
  <si>
    <t>110101</t>
  </si>
  <si>
    <t>河北区</t>
  </si>
  <si>
    <t>邢台市</t>
  </si>
  <si>
    <t>晋城市</t>
  </si>
  <si>
    <t>通辽市</t>
  </si>
  <si>
    <t>本溪市</t>
  </si>
  <si>
    <t>通化市</t>
  </si>
  <si>
    <t>双鸭山市</t>
  </si>
  <si>
    <t>静安区</t>
  </si>
  <si>
    <t>苏州市</t>
  </si>
  <si>
    <t>湖州市</t>
  </si>
  <si>
    <t>马鞍山市</t>
  </si>
  <si>
    <t>泉州市</t>
  </si>
  <si>
    <t>新余市</t>
  </si>
  <si>
    <t>东营市</t>
  </si>
  <si>
    <t>安阳市</t>
  </si>
  <si>
    <t>襄阳市</t>
  </si>
  <si>
    <t>邵阳市</t>
  </si>
  <si>
    <t>汕头市</t>
  </si>
  <si>
    <t>北海市</t>
  </si>
  <si>
    <t>琼海市</t>
  </si>
  <si>
    <t>江北区</t>
  </si>
  <si>
    <t>德阳市</t>
  </si>
  <si>
    <t>毕节市</t>
  </si>
  <si>
    <t>昭通市</t>
  </si>
  <si>
    <t>山南市</t>
  </si>
  <si>
    <t>渭南市</t>
  </si>
  <si>
    <t>天水市</t>
  </si>
  <si>
    <t>海南藏族自治州</t>
  </si>
  <si>
    <t>中卫市</t>
  </si>
  <si>
    <t>吐鲁番地区</t>
  </si>
  <si>
    <t>210000</t>
  </si>
  <si>
    <t>房山区</t>
  </si>
  <si>
    <t>110111</t>
  </si>
  <si>
    <t>丰台区</t>
  </si>
  <si>
    <t>红桥区</t>
  </si>
  <si>
    <t>保定市</t>
  </si>
  <si>
    <t>朔州市</t>
  </si>
  <si>
    <t>鄂尔多斯市</t>
  </si>
  <si>
    <t>丹东市</t>
  </si>
  <si>
    <t>白山市</t>
  </si>
  <si>
    <t>大庆市</t>
  </si>
  <si>
    <t>普陀区</t>
  </si>
  <si>
    <t>南通市</t>
  </si>
  <si>
    <t>绍兴市</t>
  </si>
  <si>
    <t>淮北市</t>
  </si>
  <si>
    <t>漳州市</t>
  </si>
  <si>
    <t>鹰潭市</t>
  </si>
  <si>
    <t>烟台市</t>
  </si>
  <si>
    <t>鹤壁市</t>
  </si>
  <si>
    <t>鄂州市</t>
  </si>
  <si>
    <t>岳阳市</t>
  </si>
  <si>
    <t>佛山市</t>
  </si>
  <si>
    <t>防城港市</t>
  </si>
  <si>
    <t>儋州市</t>
  </si>
  <si>
    <t>沙坪坝区</t>
  </si>
  <si>
    <t>绵阳市</t>
  </si>
  <si>
    <t>铜仁市</t>
  </si>
  <si>
    <t>丽江市</t>
  </si>
  <si>
    <t>昌都地区</t>
  </si>
  <si>
    <t>延安市</t>
  </si>
  <si>
    <t>武威市</t>
  </si>
  <si>
    <t>果洛藏族自治州</t>
  </si>
  <si>
    <t>哈密地区</t>
  </si>
  <si>
    <t>220000</t>
  </si>
  <si>
    <t>110106</t>
  </si>
  <si>
    <t>石景山区</t>
  </si>
  <si>
    <t>塘沽区</t>
  </si>
  <si>
    <t>张家口市</t>
  </si>
  <si>
    <t>晋中市</t>
  </si>
  <si>
    <t>呼伦贝尔市</t>
  </si>
  <si>
    <t>锦州市</t>
  </si>
  <si>
    <t>松原市</t>
  </si>
  <si>
    <t>伊春市</t>
  </si>
  <si>
    <t>闸北区</t>
  </si>
  <si>
    <t>连云港市</t>
  </si>
  <si>
    <t>金华市</t>
  </si>
  <si>
    <t>铜陵市</t>
  </si>
  <si>
    <t>南平市</t>
  </si>
  <si>
    <t>赣州市</t>
  </si>
  <si>
    <t>潍坊市</t>
  </si>
  <si>
    <t>新乡市</t>
  </si>
  <si>
    <t>荆门市</t>
  </si>
  <si>
    <t>常德市</t>
  </si>
  <si>
    <t>江门市</t>
  </si>
  <si>
    <t>钦州市</t>
  </si>
  <si>
    <t>琼山市</t>
  </si>
  <si>
    <t>九龙坡区</t>
  </si>
  <si>
    <t>广元市</t>
  </si>
  <si>
    <t>铜仁地区</t>
  </si>
  <si>
    <t>普洱市</t>
  </si>
  <si>
    <t>山南地区</t>
  </si>
  <si>
    <t>汉中市</t>
  </si>
  <si>
    <t>张掖市</t>
  </si>
  <si>
    <t>玉树藏族自治州</t>
  </si>
  <si>
    <t>昌吉回族自治州</t>
  </si>
  <si>
    <t>230000</t>
  </si>
  <si>
    <t>海淀区</t>
  </si>
  <si>
    <t>110108</t>
  </si>
  <si>
    <t>汉沽区</t>
  </si>
  <si>
    <t>承德市</t>
  </si>
  <si>
    <t>运城市</t>
  </si>
  <si>
    <t>巴彦淖尔市</t>
  </si>
  <si>
    <t>营口市</t>
  </si>
  <si>
    <t>白城市</t>
  </si>
  <si>
    <t>佳木斯市</t>
  </si>
  <si>
    <t>虹口区</t>
  </si>
  <si>
    <t>淮安市</t>
  </si>
  <si>
    <t>衢州市</t>
  </si>
  <si>
    <t>安庆市</t>
  </si>
  <si>
    <t>龙岩市</t>
  </si>
  <si>
    <t>吉安市</t>
  </si>
  <si>
    <t>济宁市</t>
  </si>
  <si>
    <t>焦作市</t>
  </si>
  <si>
    <t>孝感市</t>
  </si>
  <si>
    <t>张家界市</t>
  </si>
  <si>
    <t>湛江市</t>
  </si>
  <si>
    <t>贵港市</t>
  </si>
  <si>
    <t>文昌市</t>
  </si>
  <si>
    <t>南岸区</t>
  </si>
  <si>
    <t>遂宁市</t>
  </si>
  <si>
    <t>黔西南布依族苗族自治州</t>
  </si>
  <si>
    <t>临沧市</t>
  </si>
  <si>
    <t>日喀则地区</t>
  </si>
  <si>
    <t>榆林市</t>
  </si>
  <si>
    <t>平凉市</t>
  </si>
  <si>
    <t>海西蒙古族藏族自治州</t>
  </si>
  <si>
    <t>博尔塔拉蒙古自治州</t>
  </si>
  <si>
    <t>310000</t>
  </si>
  <si>
    <t>怀柔区</t>
  </si>
  <si>
    <t>110116</t>
  </si>
  <si>
    <t>门头沟区</t>
  </si>
  <si>
    <t>大港区</t>
  </si>
  <si>
    <t>沧州市</t>
  </si>
  <si>
    <t>忻州市</t>
  </si>
  <si>
    <t>乌兰察布市</t>
  </si>
  <si>
    <t>阜新市</t>
  </si>
  <si>
    <t>延边朝鲜族自治州</t>
  </si>
  <si>
    <t>七台河市</t>
  </si>
  <si>
    <t>杨浦区</t>
  </si>
  <si>
    <t>盐城市</t>
  </si>
  <si>
    <t>舟山市</t>
  </si>
  <si>
    <t>黄山市</t>
  </si>
  <si>
    <t>宁德市</t>
  </si>
  <si>
    <t>宜春市</t>
  </si>
  <si>
    <t>泰安市</t>
  </si>
  <si>
    <t>濮阳市</t>
  </si>
  <si>
    <t>荆州市</t>
  </si>
  <si>
    <t>益阳市</t>
  </si>
  <si>
    <t>茂名市</t>
  </si>
  <si>
    <t>玉林市</t>
  </si>
  <si>
    <t>万宁市</t>
  </si>
  <si>
    <t>北碚区</t>
  </si>
  <si>
    <t>内江市</t>
  </si>
  <si>
    <t>毕节地区</t>
  </si>
  <si>
    <t>楚雄彝族自治州</t>
  </si>
  <si>
    <t>那曲地区</t>
  </si>
  <si>
    <t>安康市</t>
  </si>
  <si>
    <t>酒泉市</t>
  </si>
  <si>
    <t>巴音郭楞蒙古自治州</t>
  </si>
  <si>
    <t>320000</t>
  </si>
  <si>
    <t>110109</t>
  </si>
  <si>
    <t>东丽区</t>
  </si>
  <si>
    <t>廊坊市</t>
  </si>
  <si>
    <t>临汾市</t>
  </si>
  <si>
    <t>兴安盟</t>
  </si>
  <si>
    <t>辽阳市</t>
  </si>
  <si>
    <t>牡丹江市</t>
  </si>
  <si>
    <t>闵行区</t>
  </si>
  <si>
    <t>扬州市</t>
  </si>
  <si>
    <t>台州市</t>
  </si>
  <si>
    <t>滁州市</t>
  </si>
  <si>
    <t>抚州市</t>
  </si>
  <si>
    <t>威海市</t>
  </si>
  <si>
    <t>许昌市</t>
  </si>
  <si>
    <t>黄冈市</t>
  </si>
  <si>
    <t>郴州市</t>
  </si>
  <si>
    <t>肇庆市</t>
  </si>
  <si>
    <t>百色市</t>
  </si>
  <si>
    <t>东方市</t>
  </si>
  <si>
    <t>綦江区</t>
  </si>
  <si>
    <t>乐山市</t>
  </si>
  <si>
    <t>黔东南苗族侗族自治州</t>
  </si>
  <si>
    <t>红河哈尼族彝族自治州</t>
  </si>
  <si>
    <t>阿里地区</t>
  </si>
  <si>
    <t>商洛市</t>
  </si>
  <si>
    <t>庆阳市</t>
  </si>
  <si>
    <t>阿克苏地区</t>
  </si>
  <si>
    <t>330000</t>
  </si>
  <si>
    <t>密云区</t>
  </si>
  <si>
    <t>110118</t>
  </si>
  <si>
    <t>通州区</t>
  </si>
  <si>
    <t>西青区</t>
  </si>
  <si>
    <t>衡水市</t>
  </si>
  <si>
    <t>吕梁市</t>
  </si>
  <si>
    <t>锡林郭勒盟</t>
  </si>
  <si>
    <t>盘锦市</t>
  </si>
  <si>
    <t>黑河市</t>
  </si>
  <si>
    <t>宝山区</t>
  </si>
  <si>
    <t>镇江市</t>
  </si>
  <si>
    <t>丽水市</t>
  </si>
  <si>
    <t>阜阳市</t>
  </si>
  <si>
    <t>上饶市</t>
  </si>
  <si>
    <t>日照市</t>
  </si>
  <si>
    <t>漯河市</t>
  </si>
  <si>
    <t>咸宁市</t>
  </si>
  <si>
    <t>永州市</t>
  </si>
  <si>
    <t>惠州市</t>
  </si>
  <si>
    <t>贺州市</t>
  </si>
  <si>
    <t>定安县</t>
  </si>
  <si>
    <t>大足区</t>
  </si>
  <si>
    <t>南充市</t>
  </si>
  <si>
    <t>黔南布依族苗族自治州</t>
  </si>
  <si>
    <t>文山壮族苗族自治州</t>
  </si>
  <si>
    <t>林芝地区</t>
  </si>
  <si>
    <t>定西市</t>
  </si>
  <si>
    <t>克孜勒苏柯尔克孜自治州</t>
  </si>
  <si>
    <t>340000</t>
  </si>
  <si>
    <t>平谷区</t>
  </si>
  <si>
    <t>110117</t>
  </si>
  <si>
    <t>顺义区</t>
  </si>
  <si>
    <t>津南区</t>
  </si>
  <si>
    <t>吕梁地区</t>
  </si>
  <si>
    <t>乌兰察布盟</t>
  </si>
  <si>
    <t>铁岭市</t>
  </si>
  <si>
    <t>绥化市</t>
  </si>
  <si>
    <t>嘉定区</t>
  </si>
  <si>
    <t>泰州市</t>
  </si>
  <si>
    <t>宿州市</t>
  </si>
  <si>
    <t>莱芜市</t>
  </si>
  <si>
    <t>三门峡市</t>
  </si>
  <si>
    <t>随州市</t>
  </si>
  <si>
    <t>怀化市</t>
  </si>
  <si>
    <t>梅州市</t>
  </si>
  <si>
    <t>河池市</t>
  </si>
  <si>
    <t>屯昌县</t>
  </si>
  <si>
    <t>渝北区</t>
  </si>
  <si>
    <t>眉山市</t>
  </si>
  <si>
    <t>思茅地区</t>
  </si>
  <si>
    <t>陇南市</t>
  </si>
  <si>
    <t>喀什地区</t>
  </si>
  <si>
    <t>350000</t>
  </si>
  <si>
    <t>110107</t>
  </si>
  <si>
    <t>北辰区</t>
  </si>
  <si>
    <t>巴彦淖尔盟</t>
  </si>
  <si>
    <t>朝阳市</t>
  </si>
  <si>
    <t>大兴安岭地区</t>
  </si>
  <si>
    <t>浦东新区</t>
  </si>
  <si>
    <t>宿迁市</t>
  </si>
  <si>
    <t>巢湖市</t>
  </si>
  <si>
    <t>临沂市</t>
  </si>
  <si>
    <t>南阳市</t>
  </si>
  <si>
    <t>恩施土家族苗族自治州</t>
  </si>
  <si>
    <t>娄底市</t>
  </si>
  <si>
    <t>汕尾市</t>
  </si>
  <si>
    <t>来宾市</t>
  </si>
  <si>
    <t>澄迈县</t>
  </si>
  <si>
    <t>巴南区</t>
  </si>
  <si>
    <t>宜宾市</t>
  </si>
  <si>
    <t>西双版纳傣族自治州</t>
  </si>
  <si>
    <t>定西地区</t>
  </si>
  <si>
    <t>和田地区</t>
  </si>
  <si>
    <t>360000</t>
  </si>
  <si>
    <t>110113</t>
  </si>
  <si>
    <t>武清区</t>
  </si>
  <si>
    <t>阿拉善盟</t>
  </si>
  <si>
    <t>葫芦岛市</t>
  </si>
  <si>
    <t>金山区</t>
  </si>
  <si>
    <t>六安市</t>
  </si>
  <si>
    <t>德州市</t>
  </si>
  <si>
    <t>商丘市</t>
  </si>
  <si>
    <t>仙桃市</t>
  </si>
  <si>
    <t>湘西土家族苗族自治州</t>
  </si>
  <si>
    <t>河源市</t>
  </si>
  <si>
    <t>崇左市</t>
  </si>
  <si>
    <t>临高县</t>
  </si>
  <si>
    <t>黔江区</t>
  </si>
  <si>
    <t>广安市</t>
  </si>
  <si>
    <t>大理白族自治州</t>
  </si>
  <si>
    <t>陇南地区</t>
  </si>
  <si>
    <t>伊犁哈萨克自治州</t>
  </si>
  <si>
    <t>370000</t>
  </si>
  <si>
    <t>110112</t>
  </si>
  <si>
    <t>宝坻区</t>
  </si>
  <si>
    <t>松江区</t>
  </si>
  <si>
    <t>亳州市</t>
  </si>
  <si>
    <t>聊城市</t>
  </si>
  <si>
    <t>信阳市</t>
  </si>
  <si>
    <t>潜江市</t>
  </si>
  <si>
    <t>阳江市</t>
  </si>
  <si>
    <t>南宁地区</t>
  </si>
  <si>
    <t>白沙黎族自治县</t>
  </si>
  <si>
    <t>长寿区</t>
  </si>
  <si>
    <t>达州市</t>
  </si>
  <si>
    <t>德宏傣族景颇族自治州</t>
  </si>
  <si>
    <t>临夏回族自治州</t>
  </si>
  <si>
    <t>塔城地区</t>
  </si>
  <si>
    <t>410000</t>
  </si>
  <si>
    <t>110102</t>
  </si>
  <si>
    <t>滨海新区</t>
  </si>
  <si>
    <t>青浦区</t>
  </si>
  <si>
    <t>池州市</t>
  </si>
  <si>
    <t>滨州市</t>
  </si>
  <si>
    <t>周口市</t>
  </si>
  <si>
    <t>天门市</t>
  </si>
  <si>
    <t>清远市</t>
  </si>
  <si>
    <t>柳州地区</t>
  </si>
  <si>
    <t>昌江黎族自治县</t>
  </si>
  <si>
    <t>江津区</t>
  </si>
  <si>
    <t>雅安市</t>
  </si>
  <si>
    <t>丽江地区</t>
  </si>
  <si>
    <t>甘南藏族自治州</t>
  </si>
  <si>
    <t>阿勒泰地区</t>
  </si>
  <si>
    <t>420000</t>
  </si>
  <si>
    <t>110104</t>
  </si>
  <si>
    <t>宁河区</t>
  </si>
  <si>
    <t>南汇区</t>
  </si>
  <si>
    <t>宣城市</t>
  </si>
  <si>
    <t>荷泽市</t>
  </si>
  <si>
    <t>驻马店市</t>
  </si>
  <si>
    <t>神农架林区</t>
  </si>
  <si>
    <t>东莞市</t>
  </si>
  <si>
    <t>乐东黎族自治县</t>
  </si>
  <si>
    <t>合川区</t>
  </si>
  <si>
    <t>巴中市</t>
  </si>
  <si>
    <t>怒江傈僳族自治州</t>
  </si>
  <si>
    <t>自治区直辖县级行政单位</t>
  </si>
  <si>
    <t>430000</t>
  </si>
  <si>
    <t>延庆区</t>
  </si>
  <si>
    <t>110119</t>
  </si>
  <si>
    <t>静海区</t>
  </si>
  <si>
    <t>奉贤区</t>
  </si>
  <si>
    <t>济源市</t>
  </si>
  <si>
    <t>中山市</t>
  </si>
  <si>
    <t>陵水黎族自治县</t>
  </si>
  <si>
    <t>永川区</t>
  </si>
  <si>
    <t>资阳市</t>
  </si>
  <si>
    <t>迪庆藏族自治州</t>
  </si>
  <si>
    <t>石河子市</t>
  </si>
  <si>
    <t>440000</t>
  </si>
  <si>
    <t>120115</t>
  </si>
  <si>
    <t>蓟州区</t>
  </si>
  <si>
    <t>崇明区</t>
  </si>
  <si>
    <t>潮州市</t>
  </si>
  <si>
    <t>保亭黎族苗族自治县</t>
  </si>
  <si>
    <t>南川区</t>
  </si>
  <si>
    <t>阿坝藏族羌族自治州</t>
  </si>
  <si>
    <t>临沧地区</t>
  </si>
  <si>
    <t>阿拉尔市</t>
  </si>
  <si>
    <t>450000</t>
  </si>
  <si>
    <t>120113</t>
  </si>
  <si>
    <t>揭阳市</t>
  </si>
  <si>
    <t>琼中黎族苗族自治县</t>
  </si>
  <si>
    <t>璧山区</t>
  </si>
  <si>
    <t>甘孜藏族自治州</t>
  </si>
  <si>
    <t>图木舒克市</t>
  </si>
  <si>
    <t>460000</t>
  </si>
  <si>
    <t>120116</t>
  </si>
  <si>
    <t>云浮市</t>
  </si>
  <si>
    <t>西沙群岛</t>
  </si>
  <si>
    <t>铜梁区</t>
  </si>
  <si>
    <t>凉山彝族自治州</t>
  </si>
  <si>
    <t>五家渠市</t>
  </si>
  <si>
    <t>500000</t>
  </si>
  <si>
    <t>120109</t>
  </si>
  <si>
    <t>南沙群岛</t>
  </si>
  <si>
    <t>潼南区</t>
  </si>
  <si>
    <t>北屯市</t>
  </si>
  <si>
    <t>510000</t>
  </si>
  <si>
    <t>120110</t>
  </si>
  <si>
    <t>中沙群岛的岛礁及其海域</t>
  </si>
  <si>
    <t>荣昌区</t>
  </si>
  <si>
    <t>铁门关市</t>
  </si>
  <si>
    <t>520000</t>
  </si>
  <si>
    <t>120108</t>
  </si>
  <si>
    <t>开州区</t>
  </si>
  <si>
    <t>双河市</t>
  </si>
  <si>
    <t>530000</t>
  </si>
  <si>
    <t>120101</t>
  </si>
  <si>
    <t>梁平区</t>
  </si>
  <si>
    <t>可克达拉市</t>
  </si>
  <si>
    <t>540000</t>
  </si>
  <si>
    <t>120105</t>
  </si>
  <si>
    <t>武隆区</t>
  </si>
  <si>
    <t>昆玉市</t>
  </si>
  <si>
    <t>610000</t>
  </si>
  <si>
    <t>120102</t>
  </si>
  <si>
    <t>620000</t>
  </si>
  <si>
    <t>120103</t>
  </si>
  <si>
    <t>630000</t>
  </si>
  <si>
    <t>120106</t>
  </si>
  <si>
    <t>640000</t>
  </si>
  <si>
    <t>120119</t>
  </si>
  <si>
    <t>650000</t>
  </si>
  <si>
    <t>120112</t>
  </si>
  <si>
    <t>HKG</t>
  </si>
  <si>
    <t>120118</t>
  </si>
  <si>
    <t>MAC</t>
  </si>
  <si>
    <t>120104</t>
  </si>
  <si>
    <t>CTN</t>
  </si>
  <si>
    <t>120117</t>
  </si>
  <si>
    <t>999998</t>
  </si>
  <si>
    <t>120107</t>
  </si>
  <si>
    <t>120114</t>
  </si>
  <si>
    <t>120111</t>
  </si>
  <si>
    <t>130100</t>
  </si>
  <si>
    <t>130200</t>
  </si>
  <si>
    <t>130300</t>
  </si>
  <si>
    <t>130400</t>
  </si>
  <si>
    <t>130500</t>
  </si>
  <si>
    <t>130600</t>
  </si>
  <si>
    <t>130700</t>
  </si>
  <si>
    <t>130800</t>
  </si>
  <si>
    <t>130900</t>
  </si>
  <si>
    <t>131000</t>
  </si>
  <si>
    <t>131100</t>
  </si>
  <si>
    <t>140100</t>
  </si>
  <si>
    <t>140200</t>
  </si>
  <si>
    <t>140300</t>
  </si>
  <si>
    <t>140400</t>
  </si>
  <si>
    <t>140500</t>
  </si>
  <si>
    <t>140600</t>
  </si>
  <si>
    <t>140700</t>
  </si>
  <si>
    <t>140800</t>
  </si>
  <si>
    <t>140900</t>
  </si>
  <si>
    <t>141000</t>
  </si>
  <si>
    <t>141100</t>
  </si>
  <si>
    <t>142300</t>
  </si>
  <si>
    <t>150100</t>
  </si>
  <si>
    <t>150200</t>
  </si>
  <si>
    <t>150300</t>
  </si>
  <si>
    <t>150400</t>
  </si>
  <si>
    <t>150500</t>
  </si>
  <si>
    <t>150600</t>
  </si>
  <si>
    <t>150700</t>
  </si>
  <si>
    <t>150800</t>
  </si>
  <si>
    <t>150900</t>
  </si>
  <si>
    <t>152200</t>
  </si>
  <si>
    <t>152500</t>
  </si>
  <si>
    <t>152600</t>
  </si>
  <si>
    <t>152800</t>
  </si>
  <si>
    <t>152900</t>
  </si>
  <si>
    <t>210100</t>
  </si>
  <si>
    <t>210200</t>
  </si>
  <si>
    <t>210300</t>
  </si>
  <si>
    <t>210400</t>
  </si>
  <si>
    <t>210500</t>
  </si>
  <si>
    <t>210600</t>
  </si>
  <si>
    <t>210700</t>
  </si>
  <si>
    <t>210800</t>
  </si>
  <si>
    <t>210900</t>
  </si>
  <si>
    <t>211000</t>
  </si>
  <si>
    <t>211100</t>
  </si>
  <si>
    <t>211200</t>
  </si>
  <si>
    <t>211300</t>
  </si>
  <si>
    <t>211400</t>
  </si>
  <si>
    <t>220100</t>
  </si>
  <si>
    <t>220200</t>
  </si>
  <si>
    <t>220300</t>
  </si>
  <si>
    <t>220400</t>
  </si>
  <si>
    <t>220500</t>
  </si>
  <si>
    <t>220600</t>
  </si>
  <si>
    <t>220700</t>
  </si>
  <si>
    <t>220800</t>
  </si>
  <si>
    <t>222400</t>
  </si>
  <si>
    <t>230100</t>
  </si>
  <si>
    <t>230200</t>
  </si>
  <si>
    <t>230300</t>
  </si>
  <si>
    <t>230400</t>
  </si>
  <si>
    <t>230500</t>
  </si>
  <si>
    <t>230600</t>
  </si>
  <si>
    <t>230700</t>
  </si>
  <si>
    <t>230800</t>
  </si>
  <si>
    <t>230900</t>
  </si>
  <si>
    <t>231000</t>
  </si>
  <si>
    <t>231100</t>
  </si>
  <si>
    <t>231200</t>
  </si>
  <si>
    <t>232700</t>
  </si>
  <si>
    <t>310113</t>
  </si>
  <si>
    <t>310151</t>
  </si>
  <si>
    <t>310120</t>
  </si>
  <si>
    <t>310109</t>
  </si>
  <si>
    <t>310101</t>
  </si>
  <si>
    <t>310114</t>
  </si>
  <si>
    <t>310116</t>
  </si>
  <si>
    <t>310106</t>
  </si>
  <si>
    <t>310103</t>
  </si>
  <si>
    <t>310112</t>
  </si>
  <si>
    <t>310119</t>
  </si>
  <si>
    <t>310115</t>
  </si>
  <si>
    <t>310107</t>
  </si>
  <si>
    <t>310118</t>
  </si>
  <si>
    <t>310117</t>
  </si>
  <si>
    <t>310104</t>
  </si>
  <si>
    <t>310110</t>
  </si>
  <si>
    <t>310108</t>
  </si>
  <si>
    <t>310105</t>
  </si>
  <si>
    <t>320100</t>
  </si>
  <si>
    <t>320200</t>
  </si>
  <si>
    <t>320300</t>
  </si>
  <si>
    <t>320400</t>
  </si>
  <si>
    <t>320500</t>
  </si>
  <si>
    <t>320600</t>
  </si>
  <si>
    <t>320700</t>
  </si>
  <si>
    <t>320800</t>
  </si>
  <si>
    <t>320900</t>
  </si>
  <si>
    <t>321000</t>
  </si>
  <si>
    <t>321100</t>
  </si>
  <si>
    <t>321200</t>
  </si>
  <si>
    <t>321300</t>
  </si>
  <si>
    <t>330100</t>
  </si>
  <si>
    <t>330200</t>
  </si>
  <si>
    <t>330300</t>
  </si>
  <si>
    <t>330400</t>
  </si>
  <si>
    <t>330500</t>
  </si>
  <si>
    <t>330600</t>
  </si>
  <si>
    <t>330700</t>
  </si>
  <si>
    <t>330800</t>
  </si>
  <si>
    <t>330900</t>
  </si>
  <si>
    <t>331000</t>
  </si>
  <si>
    <t>331100</t>
  </si>
  <si>
    <t>340100</t>
  </si>
  <si>
    <t>340200</t>
  </si>
  <si>
    <t>340300</t>
  </si>
  <si>
    <t>340400</t>
  </si>
  <si>
    <t>340500</t>
  </si>
  <si>
    <t>340600</t>
  </si>
  <si>
    <t>340700</t>
  </si>
  <si>
    <t>340800</t>
  </si>
  <si>
    <t>341000</t>
  </si>
  <si>
    <t>341100</t>
  </si>
  <si>
    <t>341200</t>
  </si>
  <si>
    <t>341300</t>
  </si>
  <si>
    <t>341400</t>
  </si>
  <si>
    <t>341500</t>
  </si>
  <si>
    <t>341600</t>
  </si>
  <si>
    <t>341700</t>
  </si>
  <si>
    <t>341800</t>
  </si>
  <si>
    <t>350100</t>
  </si>
  <si>
    <t>350200</t>
  </si>
  <si>
    <t>350300</t>
  </si>
  <si>
    <t>350400</t>
  </si>
  <si>
    <t>350500</t>
  </si>
  <si>
    <t>350600</t>
  </si>
  <si>
    <t>350700</t>
  </si>
  <si>
    <t>350800</t>
  </si>
  <si>
    <t>350900</t>
  </si>
  <si>
    <t>360100</t>
  </si>
  <si>
    <t>360200</t>
  </si>
  <si>
    <t>360300</t>
  </si>
  <si>
    <t>360400</t>
  </si>
  <si>
    <t>360500</t>
  </si>
  <si>
    <t>360600</t>
  </si>
  <si>
    <t>360700</t>
  </si>
  <si>
    <t>360800</t>
  </si>
  <si>
    <t>360900</t>
  </si>
  <si>
    <t>361000</t>
  </si>
  <si>
    <t>361100</t>
  </si>
  <si>
    <t>370100</t>
  </si>
  <si>
    <t>370200</t>
  </si>
  <si>
    <t>370300</t>
  </si>
  <si>
    <t>370400</t>
  </si>
  <si>
    <t>370500</t>
  </si>
  <si>
    <t>370600</t>
  </si>
  <si>
    <t>370700</t>
  </si>
  <si>
    <t>370800</t>
  </si>
  <si>
    <t>370900</t>
  </si>
  <si>
    <t>371000</t>
  </si>
  <si>
    <t>371100</t>
  </si>
  <si>
    <t>371200</t>
  </si>
  <si>
    <t>371300</t>
  </si>
  <si>
    <t>371400</t>
  </si>
  <si>
    <t>371500</t>
  </si>
  <si>
    <t>371600</t>
  </si>
  <si>
    <t>371700</t>
  </si>
  <si>
    <t>410100</t>
  </si>
  <si>
    <t>410200</t>
  </si>
  <si>
    <t>410300</t>
  </si>
  <si>
    <t>410400</t>
  </si>
  <si>
    <t>410500</t>
  </si>
  <si>
    <t>410600</t>
  </si>
  <si>
    <t>410700</t>
  </si>
  <si>
    <t>410800</t>
  </si>
  <si>
    <t>410900</t>
  </si>
  <si>
    <t>411000</t>
  </si>
  <si>
    <t>411100</t>
  </si>
  <si>
    <t>411200</t>
  </si>
  <si>
    <t>411300</t>
  </si>
  <si>
    <t>411400</t>
  </si>
  <si>
    <t>411500</t>
  </si>
  <si>
    <t>411600</t>
  </si>
  <si>
    <t>411700</t>
  </si>
  <si>
    <t>420100</t>
  </si>
  <si>
    <t>420200</t>
  </si>
  <si>
    <t>420300</t>
  </si>
  <si>
    <t>420500</t>
  </si>
  <si>
    <t>420600</t>
  </si>
  <si>
    <t>420700</t>
  </si>
  <si>
    <t>420800</t>
  </si>
  <si>
    <t>420900</t>
  </si>
  <si>
    <t>421000</t>
  </si>
  <si>
    <t>421100</t>
  </si>
  <si>
    <t>421200</t>
  </si>
  <si>
    <t>421300</t>
  </si>
  <si>
    <t>422800</t>
  </si>
  <si>
    <t>430100</t>
  </si>
  <si>
    <t>430200</t>
  </si>
  <si>
    <t>430300</t>
  </si>
  <si>
    <t>430400</t>
  </si>
  <si>
    <t>430500</t>
  </si>
  <si>
    <t>430600</t>
  </si>
  <si>
    <t>430700</t>
  </si>
  <si>
    <t>430800</t>
  </si>
  <si>
    <t>430900</t>
  </si>
  <si>
    <t>431000</t>
  </si>
  <si>
    <t>431100</t>
  </si>
  <si>
    <t>431200</t>
  </si>
  <si>
    <t>431300</t>
  </si>
  <si>
    <t>433100</t>
  </si>
  <si>
    <t>440100</t>
  </si>
  <si>
    <t>440200</t>
  </si>
  <si>
    <t>440300</t>
  </si>
  <si>
    <t>440400</t>
  </si>
  <si>
    <t>440500</t>
  </si>
  <si>
    <t>440600</t>
  </si>
  <si>
    <t>440700</t>
  </si>
  <si>
    <t>440800</t>
  </si>
  <si>
    <t>440900</t>
  </si>
  <si>
    <t>441200</t>
  </si>
  <si>
    <t>441300</t>
  </si>
  <si>
    <t>441400</t>
  </si>
  <si>
    <t>441500</t>
  </si>
  <si>
    <t>441600</t>
  </si>
  <si>
    <t>441700</t>
  </si>
  <si>
    <t>441800</t>
  </si>
  <si>
    <t>441900</t>
  </si>
  <si>
    <t>442000</t>
  </si>
  <si>
    <t>445100</t>
  </si>
  <si>
    <t>445200</t>
  </si>
  <si>
    <t>445300</t>
  </si>
  <si>
    <t>450100</t>
  </si>
  <si>
    <t>450200</t>
  </si>
  <si>
    <t>450300</t>
  </si>
  <si>
    <t>450400</t>
  </si>
  <si>
    <t>450500</t>
  </si>
  <si>
    <t>450600</t>
  </si>
  <si>
    <t>450700</t>
  </si>
  <si>
    <t>450800</t>
  </si>
  <si>
    <t>450900</t>
  </si>
  <si>
    <t>451000</t>
  </si>
  <si>
    <t>451100</t>
  </si>
  <si>
    <t>451200</t>
  </si>
  <si>
    <t>451300</t>
  </si>
  <si>
    <t>451400</t>
  </si>
  <si>
    <t>452100</t>
  </si>
  <si>
    <t>452200</t>
  </si>
  <si>
    <t>469025</t>
  </si>
  <si>
    <t>469027</t>
  </si>
  <si>
    <t>469028</t>
  </si>
  <si>
    <t>469029</t>
  </si>
  <si>
    <t>469030</t>
  </si>
  <si>
    <t>469037</t>
  </si>
  <si>
    <t>469038</t>
  </si>
  <si>
    <t>469039</t>
  </si>
  <si>
    <t>500101</t>
  </si>
  <si>
    <t>500102</t>
  </si>
  <si>
    <t>500103</t>
  </si>
  <si>
    <t>500104</t>
  </si>
  <si>
    <t>500105</t>
  </si>
  <si>
    <t>500106</t>
  </si>
  <si>
    <t>500107</t>
  </si>
  <si>
    <t>500108</t>
  </si>
  <si>
    <t>500109</t>
  </si>
  <si>
    <t>500110</t>
  </si>
  <si>
    <t>500111</t>
  </si>
  <si>
    <t>500112</t>
  </si>
  <si>
    <t>500113</t>
  </si>
  <si>
    <t>500114</t>
  </si>
  <si>
    <t>500115</t>
  </si>
  <si>
    <t>500116</t>
  </si>
  <si>
    <t>500117</t>
  </si>
  <si>
    <t>500118</t>
  </si>
  <si>
    <t>500119</t>
  </si>
  <si>
    <t>500120</t>
  </si>
  <si>
    <t>500151</t>
  </si>
  <si>
    <t>500152</t>
  </si>
  <si>
    <t>500153</t>
  </si>
  <si>
    <t>500154</t>
  </si>
  <si>
    <t>500155</t>
  </si>
  <si>
    <t>500156</t>
  </si>
  <si>
    <t>510100</t>
  </si>
  <si>
    <t>510300</t>
  </si>
  <si>
    <t>510400</t>
  </si>
  <si>
    <t>510500</t>
  </si>
  <si>
    <t>510600</t>
  </si>
  <si>
    <t>510700</t>
  </si>
  <si>
    <t>510800</t>
  </si>
  <si>
    <t>510900</t>
  </si>
  <si>
    <t>511000</t>
  </si>
  <si>
    <t>511100</t>
  </si>
  <si>
    <t>511300</t>
  </si>
  <si>
    <t>511400</t>
  </si>
  <si>
    <t>511500</t>
  </si>
  <si>
    <t>511600</t>
  </si>
  <si>
    <t>511700</t>
  </si>
  <si>
    <t>511800</t>
  </si>
  <si>
    <t>511900</t>
  </si>
  <si>
    <t>512000</t>
  </si>
  <si>
    <t>513200</t>
  </si>
  <si>
    <t>513300</t>
  </si>
  <si>
    <t>513400</t>
  </si>
  <si>
    <t>520100</t>
  </si>
  <si>
    <t>520200</t>
  </si>
  <si>
    <t>520300</t>
  </si>
  <si>
    <t>520400</t>
  </si>
  <si>
    <t>520500</t>
  </si>
  <si>
    <t>520600</t>
  </si>
  <si>
    <t>522200</t>
  </si>
  <si>
    <t>522300</t>
  </si>
  <si>
    <t>522400</t>
  </si>
  <si>
    <t>522600</t>
  </si>
  <si>
    <t>522700</t>
  </si>
  <si>
    <t>530100</t>
  </si>
  <si>
    <t>530300</t>
  </si>
  <si>
    <t>530400</t>
  </si>
  <si>
    <t>530500</t>
  </si>
  <si>
    <t>530600</t>
  </si>
  <si>
    <t>530700</t>
  </si>
  <si>
    <t>530800</t>
  </si>
  <si>
    <t>530900</t>
  </si>
  <si>
    <t>532300</t>
  </si>
  <si>
    <t>532500</t>
  </si>
  <si>
    <t>532600</t>
  </si>
  <si>
    <t>532700</t>
  </si>
  <si>
    <t>532800</t>
  </si>
  <si>
    <t>532900</t>
  </si>
  <si>
    <t>533100</t>
  </si>
  <si>
    <t>533200</t>
  </si>
  <si>
    <t>533300</t>
  </si>
  <si>
    <t>533400</t>
  </si>
  <si>
    <t>533500</t>
  </si>
  <si>
    <t>540100</t>
  </si>
  <si>
    <t>540200</t>
  </si>
  <si>
    <t>540300</t>
  </si>
  <si>
    <t>540400</t>
  </si>
  <si>
    <t>540500</t>
  </si>
  <si>
    <t>542100</t>
  </si>
  <si>
    <t>542200</t>
  </si>
  <si>
    <t>542300</t>
  </si>
  <si>
    <t>542400</t>
  </si>
  <si>
    <t>542500</t>
  </si>
  <si>
    <t>542600</t>
  </si>
  <si>
    <t>610100</t>
  </si>
  <si>
    <t>610200</t>
  </si>
  <si>
    <t>610300</t>
  </si>
  <si>
    <t>610400</t>
  </si>
  <si>
    <t>610500</t>
  </si>
  <si>
    <t>610600</t>
  </si>
  <si>
    <t>610700</t>
  </si>
  <si>
    <t>610800</t>
  </si>
  <si>
    <t>610900</t>
  </si>
  <si>
    <t>611000</t>
  </si>
  <si>
    <t>620100</t>
  </si>
  <si>
    <t>620200</t>
  </si>
  <si>
    <t>620300</t>
  </si>
  <si>
    <t>620400</t>
  </si>
  <si>
    <t>620500</t>
  </si>
  <si>
    <t>620600</t>
  </si>
  <si>
    <t>620700</t>
  </si>
  <si>
    <t>620800</t>
  </si>
  <si>
    <t>620900</t>
  </si>
  <si>
    <t>621000</t>
  </si>
  <si>
    <t>621100</t>
  </si>
  <si>
    <t>621200</t>
  </si>
  <si>
    <t>622400</t>
  </si>
  <si>
    <t>622600</t>
  </si>
  <si>
    <t>622900</t>
  </si>
  <si>
    <t>623000</t>
  </si>
  <si>
    <t>630100</t>
  </si>
  <si>
    <t>630200</t>
  </si>
  <si>
    <t>632200</t>
  </si>
  <si>
    <t>632300</t>
  </si>
  <si>
    <t>632500</t>
  </si>
  <si>
    <t>632600</t>
  </si>
  <si>
    <t>632700</t>
  </si>
  <si>
    <t>632800</t>
  </si>
  <si>
    <t>640100</t>
  </si>
  <si>
    <t>640200</t>
  </si>
  <si>
    <t>640300</t>
  </si>
  <si>
    <t>640400</t>
  </si>
  <si>
    <t>640500</t>
  </si>
  <si>
    <t>650100</t>
  </si>
  <si>
    <t>650200</t>
  </si>
  <si>
    <t>650400</t>
  </si>
  <si>
    <t>650500</t>
  </si>
  <si>
    <t>isCheck</t>
  </si>
  <si>
    <t>hbzcfz</t>
  </si>
  <si>
    <t>项目-1（审计基准日）*</t>
  </si>
  <si>
    <t>project_one</t>
  </si>
  <si>
    <t>流动资产*</t>
  </si>
  <si>
    <t>jldzc</t>
  </si>
  <si>
    <t>非流动资产*</t>
  </si>
  <si>
    <t>jfldzc</t>
  </si>
  <si>
    <t>资产总额*</t>
  </si>
  <si>
    <t>jzchj</t>
  </si>
  <si>
    <t>流动负债*</t>
  </si>
  <si>
    <t>jldfz</t>
  </si>
  <si>
    <t>非流动负债*</t>
  </si>
  <si>
    <t>jfldfz</t>
  </si>
  <si>
    <t>负债总额*</t>
  </si>
  <si>
    <t>jfzhj</t>
  </si>
  <si>
    <t>净资产*</t>
  </si>
  <si>
    <t>jjzc</t>
  </si>
  <si>
    <t>归属于母公司所有者权益*</t>
  </si>
  <si>
    <t>jgsmgssyzqy</t>
  </si>
  <si>
    <t>hblrzysj</t>
  </si>
  <si>
    <t>项目-2*</t>
  </si>
  <si>
    <t>project_two</t>
  </si>
  <si>
    <t>营业收入*</t>
  </si>
  <si>
    <t>jyysr</t>
  </si>
  <si>
    <t>营业利润*</t>
  </si>
  <si>
    <t>jyylr</t>
  </si>
  <si>
    <t>综合毛利率（%）*</t>
  </si>
  <si>
    <t>jzhmll</t>
  </si>
  <si>
    <t>管理费用/营业收入（%）*</t>
  </si>
  <si>
    <t>jglfy_ys</t>
  </si>
  <si>
    <t>销售费用/营业收入（%）*</t>
  </si>
  <si>
    <t>jxsfy_ys</t>
  </si>
  <si>
    <t>财务费用/营业收入（%）*</t>
  </si>
  <si>
    <t>jcwfy_ys</t>
  </si>
  <si>
    <t>利润总额*</t>
  </si>
  <si>
    <t>jlrze</t>
  </si>
  <si>
    <t>净利润*</t>
  </si>
  <si>
    <t>jshlr</t>
  </si>
  <si>
    <t>综合收益总额*</t>
  </si>
  <si>
    <t>jqtzhsy</t>
  </si>
  <si>
    <t>归属于母公司所有者的净利润*</t>
  </si>
  <si>
    <t>jgsmgssyzjlr</t>
  </si>
  <si>
    <t>jkssdsfjczsy</t>
  </si>
  <si>
    <t>扣除非经常性损益后的归属于母公司所有者净利润*</t>
  </si>
  <si>
    <t>jjqjzcl</t>
  </si>
  <si>
    <t>hbxhll</t>
  </si>
  <si>
    <t>项目-3*</t>
  </si>
  <si>
    <t>project_three</t>
  </si>
  <si>
    <t>经营活动产生的现金流量净额*</t>
  </si>
  <si>
    <t>jxyllje</t>
  </si>
  <si>
    <t>投资活动产生的现金流量净额*</t>
  </si>
  <si>
    <t>jtzllje</t>
  </si>
  <si>
    <t>筹资活动产生的现金流量净额*</t>
  </si>
  <si>
    <t>jczllje</t>
  </si>
  <si>
    <t>现金及现金等价物净增加额*</t>
  </si>
  <si>
    <t>jxjjzjz</t>
  </si>
  <si>
    <t>zjsnyqzycwzb</t>
  </si>
  <si>
    <t>项目-4*</t>
  </si>
  <si>
    <t>project_four</t>
  </si>
  <si>
    <t>流动比率（倍）*</t>
  </si>
  <si>
    <t>ldbl_bq</t>
  </si>
  <si>
    <t>速动比率（倍）*</t>
  </si>
  <si>
    <t>sdbl_bq</t>
  </si>
  <si>
    <t>资产负债率（母公司报表）（%）*</t>
  </si>
  <si>
    <t>zcfzl_gsbb</t>
  </si>
  <si>
    <t>资产负债率（合并报表）（%）*</t>
  </si>
  <si>
    <t>zcfzl_bq</t>
  </si>
  <si>
    <t>lxbs_bq</t>
  </si>
  <si>
    <t>应收账款周转率（次）*</t>
  </si>
  <si>
    <t>yszkzzl</t>
  </si>
  <si>
    <t>chzzl</t>
  </si>
  <si>
    <t>0</t>
  </si>
  <si>
    <t>研发投入/营业收入（%）*</t>
  </si>
  <si>
    <t>yftr_ys</t>
  </si>
  <si>
    <t>现金分红（万元）*</t>
  </si>
  <si>
    <t>xjfhze</t>
  </si>
  <si>
    <t>jmgjzc</t>
  </si>
  <si>
    <t>jyxj</t>
  </si>
  <si>
    <t>jmgjyxj</t>
  </si>
  <si>
    <t>jmgsy</t>
  </si>
  <si>
    <t>cxsmgsy</t>
  </si>
  <si>
    <t>加权平均净资产收益率（扣除非经常性损益前）（%）*</t>
  </si>
  <si>
    <t>cjlr_jzc_jq</t>
  </si>
  <si>
    <t>加权平均净资产收益率（扣除非经常性损益后）（%）*</t>
  </si>
  <si>
    <t>ckfj_jzc_jq_zj</t>
  </si>
  <si>
    <t>qtkcqyxg</t>
  </si>
  <si>
    <t>项目-5*</t>
  </si>
  <si>
    <t>project_five</t>
  </si>
  <si>
    <t>研发人员数量（硕士及以上学历）（人）*</t>
  </si>
  <si>
    <t>yfrysl</t>
  </si>
  <si>
    <t>发明专利数量 （件）*</t>
  </si>
  <si>
    <t>fmzlsl</t>
  </si>
  <si>
    <r>
      <rPr>
        <sz val="12"/>
        <rFont val="宋体"/>
        <charset val="134"/>
      </rPr>
      <t>一级行业_</t>
    </r>
    <r>
      <rPr>
        <sz val="12"/>
        <rFont val="宋体"/>
        <charset val="134"/>
      </rPr>
      <t>zjh</t>
    </r>
  </si>
  <si>
    <t>行业代码</t>
  </si>
  <si>
    <r>
      <rPr>
        <sz val="12"/>
        <rFont val="宋体"/>
        <charset val="134"/>
      </rPr>
      <t>二级行业_</t>
    </r>
    <r>
      <rPr>
        <sz val="12"/>
        <rFont val="宋体"/>
        <charset val="134"/>
      </rPr>
      <t>zjh</t>
    </r>
  </si>
  <si>
    <t>二级行业代码</t>
  </si>
  <si>
    <r>
      <rPr>
        <sz val="12"/>
        <rFont val="宋体"/>
        <charset val="134"/>
      </rPr>
      <t>农林牧渔_</t>
    </r>
    <r>
      <rPr>
        <sz val="12"/>
        <rFont val="宋体"/>
        <charset val="134"/>
      </rPr>
      <t>zjh</t>
    </r>
  </si>
  <si>
    <t>采矿业_zjh</t>
  </si>
  <si>
    <t>制造业_zjh</t>
  </si>
  <si>
    <t>水电煤气_zjh</t>
  </si>
  <si>
    <t>建筑业_zjh</t>
  </si>
  <si>
    <t>批发零售_zjh</t>
  </si>
  <si>
    <t>运输仓储_zjh</t>
  </si>
  <si>
    <t>住宿餐饮_zjh</t>
  </si>
  <si>
    <t>信息技术_zjh</t>
  </si>
  <si>
    <t>金融业_zjh</t>
  </si>
  <si>
    <t>房地产_zjh</t>
  </si>
  <si>
    <t>商务服务_zjh</t>
  </si>
  <si>
    <t>科研服务_zjh</t>
  </si>
  <si>
    <t>公共环保_zjh</t>
  </si>
  <si>
    <t>居民服务_zjh</t>
  </si>
  <si>
    <t>教育_zjh</t>
  </si>
  <si>
    <t>卫生_zjh</t>
  </si>
  <si>
    <t>文化传播_zjh</t>
  </si>
  <si>
    <t>综合_zjh</t>
  </si>
  <si>
    <t>农林牧渔</t>
  </si>
  <si>
    <t>A</t>
  </si>
  <si>
    <t>农业</t>
  </si>
  <si>
    <t>A01</t>
  </si>
  <si>
    <t>煤炭开采和洗选业</t>
  </si>
  <si>
    <t>农副食品加工业</t>
  </si>
  <si>
    <t>电力、热力生产和供应业</t>
  </si>
  <si>
    <t>房屋建筑业</t>
  </si>
  <si>
    <t>批发业</t>
  </si>
  <si>
    <t>铁路运输业</t>
  </si>
  <si>
    <t>住宿业</t>
  </si>
  <si>
    <t>电信、广播电视和卫星传输服务</t>
  </si>
  <si>
    <t>货币金融服务</t>
  </si>
  <si>
    <t>房地产业</t>
  </si>
  <si>
    <t>租赁业</t>
  </si>
  <si>
    <t>研究和试验发展</t>
  </si>
  <si>
    <t>水利管理业</t>
  </si>
  <si>
    <t>居民服务业</t>
  </si>
  <si>
    <t>教育</t>
  </si>
  <si>
    <t>卫生</t>
  </si>
  <si>
    <t>新闻和出版业</t>
  </si>
  <si>
    <t>综合</t>
  </si>
  <si>
    <t>采矿业</t>
  </si>
  <si>
    <t>B</t>
  </si>
  <si>
    <t>林业</t>
  </si>
  <si>
    <t>A02</t>
  </si>
  <si>
    <t>石油和天然气开采业</t>
  </si>
  <si>
    <t>食品制造业</t>
  </si>
  <si>
    <t>燃气生产和供应业</t>
  </si>
  <si>
    <t>土木工程建筑业</t>
  </si>
  <si>
    <t>零售业</t>
  </si>
  <si>
    <t>道路运输业</t>
  </si>
  <si>
    <t>餐饮业</t>
  </si>
  <si>
    <t>互联网和相关服务</t>
  </si>
  <si>
    <t>资本市场服务</t>
  </si>
  <si>
    <t>商务服务业</t>
  </si>
  <si>
    <t>专业技术服务业</t>
  </si>
  <si>
    <t>生态保护和环境治理业</t>
  </si>
  <si>
    <t>机动车、电子产品和日用产品修理业</t>
  </si>
  <si>
    <t>社会工作</t>
  </si>
  <si>
    <t>广播、电视、电影和影视录音制作业</t>
  </si>
  <si>
    <t>制造业</t>
  </si>
  <si>
    <t>C</t>
  </si>
  <si>
    <t>畜牧业</t>
  </si>
  <si>
    <t>A03</t>
  </si>
  <si>
    <t>黑色金属矿采选业</t>
  </si>
  <si>
    <t>酒、饮料和精制茶制造业</t>
  </si>
  <si>
    <t>水的生产和供应业</t>
  </si>
  <si>
    <t>建筑安装业</t>
  </si>
  <si>
    <t>水上运输业</t>
  </si>
  <si>
    <t>软件和信息技术服务业</t>
  </si>
  <si>
    <t>保险业</t>
  </si>
  <si>
    <t>科技推广和应用服务业</t>
  </si>
  <si>
    <t>公共设施管理业</t>
  </si>
  <si>
    <t>其他服务业</t>
  </si>
  <si>
    <t>文化艺术业</t>
  </si>
  <si>
    <t>水电煤气</t>
  </si>
  <si>
    <t>D</t>
  </si>
  <si>
    <t>渔业</t>
  </si>
  <si>
    <t>A04</t>
  </si>
  <si>
    <t>有色金属矿采选业</t>
  </si>
  <si>
    <t>烟草制品业</t>
  </si>
  <si>
    <t>建筑装饰和其他建筑业</t>
  </si>
  <si>
    <t>航空运输业</t>
  </si>
  <si>
    <t>其他金融业</t>
  </si>
  <si>
    <t>体育</t>
  </si>
  <si>
    <t>建筑业</t>
  </si>
  <si>
    <t>E</t>
  </si>
  <si>
    <t>农、林、牧、渔服务业</t>
  </si>
  <si>
    <t>A05</t>
  </si>
  <si>
    <t>非金属矿采选业</t>
  </si>
  <si>
    <t>纺织业</t>
  </si>
  <si>
    <t>管道运输业</t>
  </si>
  <si>
    <t>娱乐业</t>
  </si>
  <si>
    <t>批发零售</t>
  </si>
  <si>
    <t>F</t>
  </si>
  <si>
    <t>B06</t>
  </si>
  <si>
    <t>开采辅助活动</t>
  </si>
  <si>
    <t>纺织服装、服饰业</t>
  </si>
  <si>
    <t>装卸搬运和运输代理业</t>
  </si>
  <si>
    <t>运输仓储</t>
  </si>
  <si>
    <t>G</t>
  </si>
  <si>
    <t>B07</t>
  </si>
  <si>
    <t>其他采矿业</t>
  </si>
  <si>
    <t>皮革、毛皮、羽毛及其制品和制鞋业</t>
  </si>
  <si>
    <t>仓储业</t>
  </si>
  <si>
    <t>住宿餐饮</t>
  </si>
  <si>
    <t>H</t>
  </si>
  <si>
    <t>B08</t>
  </si>
  <si>
    <t>木材加工和木、竹、藤、棕、草制品业</t>
  </si>
  <si>
    <t>邮政业</t>
  </si>
  <si>
    <t>信息技术</t>
  </si>
  <si>
    <t>I</t>
  </si>
  <si>
    <t>B09</t>
  </si>
  <si>
    <t>家具制造业</t>
  </si>
  <si>
    <t>金融业</t>
  </si>
  <si>
    <t>J</t>
  </si>
  <si>
    <t>B10</t>
  </si>
  <si>
    <t>造纸和纸制品业</t>
  </si>
  <si>
    <t>房地产</t>
  </si>
  <si>
    <t>K</t>
  </si>
  <si>
    <t>B11</t>
  </si>
  <si>
    <t>印刷和记录媒介复制业</t>
  </si>
  <si>
    <t>商务服务</t>
  </si>
  <si>
    <t>L</t>
  </si>
  <si>
    <t>B12</t>
  </si>
  <si>
    <t>文教、工美、体育和娱乐用品制造业</t>
  </si>
  <si>
    <t>科研服务</t>
  </si>
  <si>
    <t>M</t>
  </si>
  <si>
    <t>C13</t>
  </si>
  <si>
    <t>石油加工、炼焦和核燃料加工业</t>
  </si>
  <si>
    <t>公共环保</t>
  </si>
  <si>
    <t>N</t>
  </si>
  <si>
    <t>C14</t>
  </si>
  <si>
    <t>化学原料和化学制品制造业</t>
  </si>
  <si>
    <t>居民服务</t>
  </si>
  <si>
    <t>O</t>
  </si>
  <si>
    <t>C15</t>
  </si>
  <si>
    <t>医药制造业</t>
  </si>
  <si>
    <t>P</t>
  </si>
  <si>
    <t>C16</t>
  </si>
  <si>
    <t>化学纤维制造业</t>
  </si>
  <si>
    <t>Q</t>
  </si>
  <si>
    <t>C17</t>
  </si>
  <si>
    <t>橡胶和塑料制品业</t>
  </si>
  <si>
    <t>文化传播</t>
  </si>
  <si>
    <t>R</t>
  </si>
  <si>
    <t>C18</t>
  </si>
  <si>
    <t>非金属矿物制品业</t>
  </si>
  <si>
    <t>S</t>
  </si>
  <si>
    <t>C19</t>
  </si>
  <si>
    <t>黑色金属冶炼和压延加工业</t>
  </si>
  <si>
    <t>C20</t>
  </si>
  <si>
    <t>有色金属冶炼和压延加工业</t>
  </si>
  <si>
    <t>C21</t>
  </si>
  <si>
    <t>金属制品业</t>
  </si>
  <si>
    <t>C22</t>
  </si>
  <si>
    <t>通用设备制造业</t>
  </si>
  <si>
    <t>C23</t>
  </si>
  <si>
    <t>专用设备制造业</t>
  </si>
  <si>
    <t>C24</t>
  </si>
  <si>
    <t>汽车制造业</t>
  </si>
  <si>
    <t>C25</t>
  </si>
  <si>
    <t>铁路、船舶、航空航天和其他运输设备制造业</t>
  </si>
  <si>
    <t>C26</t>
  </si>
  <si>
    <t>电气机械和器材制造业</t>
  </si>
  <si>
    <t>C27</t>
  </si>
  <si>
    <t>计算机、通信和其他电子设备制造业</t>
  </si>
  <si>
    <t>C28</t>
  </si>
  <si>
    <t>仪器仪表制造业</t>
  </si>
  <si>
    <t>C29</t>
  </si>
  <si>
    <t>其他制造业</t>
  </si>
  <si>
    <t>C30</t>
  </si>
  <si>
    <t>废弃资源综合利用业</t>
  </si>
  <si>
    <t>C31</t>
  </si>
  <si>
    <t>金属制品、机械和设备修理业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</si>
  <si>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</si>
  <si>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</si>
  <si>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</si>
  <si>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</si>
  <si>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</si>
  <si>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</si>
  <si>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</si>
  <si>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</si>
  <si>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</si>
  <si>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</si>
  <si>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</si>
  <si>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</si>
  <si>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D44</t>
  </si>
  <si>
    <t>D45</t>
  </si>
  <si>
    <t>D46</t>
  </si>
  <si>
    <t>E47</t>
  </si>
  <si>
    <t>E48</t>
  </si>
  <si>
    <t>E49</t>
  </si>
  <si>
    <t>E50</t>
  </si>
  <si>
    <t>F51</t>
  </si>
  <si>
    <t>F52</t>
  </si>
  <si>
    <t>G53</t>
  </si>
  <si>
    <t>G54</t>
  </si>
  <si>
    <t>G55</t>
  </si>
  <si>
    <t>G56</t>
  </si>
  <si>
    <t>G57</t>
  </si>
  <si>
    <t>G58</t>
  </si>
  <si>
    <t>G59</t>
  </si>
  <si>
    <t>G60</t>
  </si>
  <si>
    <t>H61</t>
  </si>
  <si>
    <t>H62</t>
  </si>
  <si>
    <t>I63</t>
  </si>
  <si>
    <t>I64</t>
  </si>
  <si>
    <t>I65</t>
  </si>
  <si>
    <t>J66</t>
  </si>
  <si>
    <t>J67</t>
  </si>
  <si>
    <t>J68</t>
  </si>
  <si>
    <t>J69</t>
  </si>
  <si>
    <t>K70</t>
  </si>
  <si>
    <t>L71</t>
  </si>
  <si>
    <t>L72</t>
  </si>
  <si>
    <t>M73</t>
  </si>
  <si>
    <t>M74</t>
  </si>
  <si>
    <t>M75</t>
  </si>
  <si>
    <t>N76</t>
  </si>
  <si>
    <t>N77</t>
  </si>
  <si>
    <t>N78</t>
  </si>
  <si>
    <t>O79</t>
  </si>
  <si>
    <t>O80</t>
  </si>
  <si>
    <t>O81</t>
  </si>
  <si>
    <t>P82</t>
  </si>
  <si>
    <t>Q83</t>
  </si>
  <si>
    <t>Q84</t>
  </si>
  <si>
    <t>R85</t>
  </si>
  <si>
    <t>R86</t>
  </si>
  <si>
    <t>R87</t>
  </si>
  <si>
    <t>R88</t>
  </si>
  <si>
    <t>R89</t>
  </si>
  <si>
    <t>S90</t>
  </si>
  <si>
    <t>一级行业名称_sw</t>
  </si>
  <si>
    <t>一级行业代码</t>
  </si>
  <si>
    <t>二级_sw</t>
  </si>
  <si>
    <t>农林牧渔_sw</t>
  </si>
  <si>
    <t>采掘_sw</t>
  </si>
  <si>
    <t>化工_sw</t>
  </si>
  <si>
    <t>钢铁_sw</t>
  </si>
  <si>
    <t>有色金属_sw</t>
  </si>
  <si>
    <t>电子_sw</t>
  </si>
  <si>
    <t>汽车_sw</t>
  </si>
  <si>
    <t>家用电器_sw</t>
  </si>
  <si>
    <t>食品饮料_sw</t>
  </si>
  <si>
    <t>纺织服装_sw</t>
  </si>
  <si>
    <t>轻工制造_sw</t>
  </si>
  <si>
    <t>医药生物_sw</t>
  </si>
  <si>
    <t>公用事业_sw</t>
  </si>
  <si>
    <t>交通运输_sw</t>
  </si>
  <si>
    <t>房地产_sw</t>
  </si>
  <si>
    <t>商业贸易_sw</t>
  </si>
  <si>
    <t>休闲服务_sw</t>
  </si>
  <si>
    <t>银行_sw</t>
  </si>
  <si>
    <t>非银金融_sw</t>
  </si>
  <si>
    <t>综合_sw</t>
  </si>
  <si>
    <t>建筑材料_sw</t>
  </si>
  <si>
    <t>建筑装饰_sw</t>
  </si>
  <si>
    <t>电气设备_sw</t>
  </si>
  <si>
    <t>机械设备_sw</t>
  </si>
  <si>
    <t>国防军工_sw</t>
  </si>
  <si>
    <t>计算机_sw</t>
  </si>
  <si>
    <t>传媒_sw</t>
  </si>
  <si>
    <t>通信_sw</t>
  </si>
  <si>
    <t>S11</t>
  </si>
  <si>
    <t>种植业</t>
  </si>
  <si>
    <t>S1101</t>
  </si>
  <si>
    <t>石油开采</t>
  </si>
  <si>
    <t>石油化工</t>
  </si>
  <si>
    <t>钢铁</t>
  </si>
  <si>
    <t>金属非金属新材料</t>
  </si>
  <si>
    <t>半导体</t>
  </si>
  <si>
    <t>汽车整车</t>
  </si>
  <si>
    <t>白色家电</t>
  </si>
  <si>
    <t>饮料制造</t>
  </si>
  <si>
    <t>纺织制造</t>
  </si>
  <si>
    <t>造纸</t>
  </si>
  <si>
    <t>化学制药</t>
  </si>
  <si>
    <t>电力</t>
  </si>
  <si>
    <t>港口</t>
  </si>
  <si>
    <t>房地产开发</t>
  </si>
  <si>
    <t>贸易</t>
  </si>
  <si>
    <t>景点</t>
  </si>
  <si>
    <t>银行</t>
  </si>
  <si>
    <t>证券</t>
  </si>
  <si>
    <t>水泥制造</t>
  </si>
  <si>
    <t>房屋建设</t>
  </si>
  <si>
    <t>电机</t>
  </si>
  <si>
    <t>通用机械</t>
  </si>
  <si>
    <t>航天装备</t>
  </si>
  <si>
    <t>计算机设备</t>
  </si>
  <si>
    <t>文化传媒</t>
  </si>
  <si>
    <t>通信运营</t>
  </si>
  <si>
    <t>采掘</t>
  </si>
  <si>
    <t>S21</t>
  </si>
  <si>
    <t>S1102</t>
  </si>
  <si>
    <t>煤炭开采</t>
  </si>
  <si>
    <t>化学原料</t>
  </si>
  <si>
    <t>工业金属</t>
  </si>
  <si>
    <t>元件</t>
  </si>
  <si>
    <t>汽车零部件</t>
  </si>
  <si>
    <t>视听器材</t>
  </si>
  <si>
    <t>食品加工</t>
  </si>
  <si>
    <t>服装家纺</t>
  </si>
  <si>
    <t>包装印刷</t>
  </si>
  <si>
    <t>中药</t>
  </si>
  <si>
    <t>水务</t>
  </si>
  <si>
    <t>高速公路</t>
  </si>
  <si>
    <t>园区开发</t>
  </si>
  <si>
    <t>一般零售</t>
  </si>
  <si>
    <t>酒店</t>
  </si>
  <si>
    <t>保险</t>
  </si>
  <si>
    <t>玻璃制造</t>
  </si>
  <si>
    <t>装修装饰</t>
  </si>
  <si>
    <t>电气自动化设备</t>
  </si>
  <si>
    <t>专用设备</t>
  </si>
  <si>
    <t>航空装备</t>
  </si>
  <si>
    <t>计算机应用</t>
  </si>
  <si>
    <t>营销传播</t>
  </si>
  <si>
    <t>通信设备</t>
  </si>
  <si>
    <t>化工</t>
  </si>
  <si>
    <t>S22</t>
  </si>
  <si>
    <t>S1103</t>
  </si>
  <si>
    <t>其他采掘</t>
  </si>
  <si>
    <t>化学制品</t>
  </si>
  <si>
    <t>黄金</t>
  </si>
  <si>
    <t>光学光电子</t>
  </si>
  <si>
    <t>汽车服务</t>
  </si>
  <si>
    <t>家用轻工</t>
  </si>
  <si>
    <t>生物制品</t>
  </si>
  <si>
    <t>燃气</t>
  </si>
  <si>
    <t>公交</t>
  </si>
  <si>
    <t>专业零售</t>
  </si>
  <si>
    <t>旅游综合</t>
  </si>
  <si>
    <t>多元金融</t>
  </si>
  <si>
    <t>其他建材</t>
  </si>
  <si>
    <t>基础建设</t>
  </si>
  <si>
    <t>电源设备</t>
  </si>
  <si>
    <t>仪器仪表</t>
  </si>
  <si>
    <t>地面兵装</t>
  </si>
  <si>
    <t>互联网传媒</t>
  </si>
  <si>
    <t>S23</t>
  </si>
  <si>
    <t>饲料</t>
  </si>
  <si>
    <t>S1104</t>
  </si>
  <si>
    <t>采掘服务</t>
  </si>
  <si>
    <t>化学纤维</t>
  </si>
  <si>
    <t>稀有金属</t>
  </si>
  <si>
    <t>其他电子</t>
  </si>
  <si>
    <t>其他交运设备</t>
  </si>
  <si>
    <t>其他轻工制造</t>
  </si>
  <si>
    <t>医药商业</t>
  </si>
  <si>
    <t>环保工程及服务</t>
  </si>
  <si>
    <t>航空运输</t>
  </si>
  <si>
    <t>商业物业经营</t>
  </si>
  <si>
    <t>餐饮</t>
  </si>
  <si>
    <t>专业工程</t>
  </si>
  <si>
    <t>高低压设备</t>
  </si>
  <si>
    <t>金属制品</t>
  </si>
  <si>
    <t>船舶制造</t>
  </si>
  <si>
    <t>有色金属</t>
  </si>
  <si>
    <t>S24</t>
  </si>
  <si>
    <t>农产品加工</t>
  </si>
  <si>
    <t>S1105</t>
  </si>
  <si>
    <t>塑料</t>
  </si>
  <si>
    <t>电子制造</t>
  </si>
  <si>
    <t>医疗器械</t>
  </si>
  <si>
    <t>机场</t>
  </si>
  <si>
    <t>其他休闲服务</t>
  </si>
  <si>
    <t>园林工程</t>
  </si>
  <si>
    <t>运输设备</t>
  </si>
  <si>
    <t>电子</t>
  </si>
  <si>
    <t>S27</t>
  </si>
  <si>
    <t>农业综合</t>
  </si>
  <si>
    <t>S1106</t>
  </si>
  <si>
    <t>橡胶</t>
  </si>
  <si>
    <t>医疗服务</t>
  </si>
  <si>
    <t>航运</t>
  </si>
  <si>
    <t>汽车</t>
  </si>
  <si>
    <t>S28</t>
  </si>
  <si>
    <t>畜禽养殖</t>
  </si>
  <si>
    <t>S1107</t>
  </si>
  <si>
    <t>铁路运输</t>
  </si>
  <si>
    <t>家用电器</t>
  </si>
  <si>
    <t>S33</t>
  </si>
  <si>
    <t>动物保健</t>
  </si>
  <si>
    <t>S1108</t>
  </si>
  <si>
    <t>物流</t>
  </si>
  <si>
    <t>食品饮料</t>
  </si>
  <si>
    <t>S34</t>
  </si>
  <si>
    <t>S2101</t>
  </si>
  <si>
    <t>纺织服装</t>
  </si>
  <si>
    <t>S35</t>
  </si>
  <si>
    <t>S2102</t>
  </si>
  <si>
    <t>轻工制造</t>
  </si>
  <si>
    <t>S36</t>
  </si>
  <si>
    <t>S2103</t>
  </si>
  <si>
    <t>医药生物</t>
  </si>
  <si>
    <t>S37</t>
  </si>
  <si>
    <t>S2104</t>
  </si>
  <si>
    <t>公用事业</t>
  </si>
  <si>
    <t>S41</t>
  </si>
  <si>
    <t>S2201</t>
  </si>
  <si>
    <t>交通运输</t>
  </si>
  <si>
    <t>S42</t>
  </si>
  <si>
    <t>S2202</t>
  </si>
  <si>
    <t>S43</t>
  </si>
  <si>
    <t>S2203</t>
  </si>
  <si>
    <t>商业贸易</t>
  </si>
  <si>
    <t>S45</t>
  </si>
  <si>
    <t>S2204</t>
  </si>
  <si>
    <t>休闲服务</t>
  </si>
  <si>
    <t>S46</t>
  </si>
  <si>
    <t>S2205</t>
  </si>
  <si>
    <t>S48</t>
  </si>
  <si>
    <t>S2206</t>
  </si>
  <si>
    <t>非银金融</t>
  </si>
  <si>
    <t>S49</t>
  </si>
  <si>
    <t>S2301</t>
  </si>
  <si>
    <t>S51</t>
  </si>
  <si>
    <t>S2402</t>
  </si>
  <si>
    <t>建筑材料</t>
  </si>
  <si>
    <t>S61</t>
  </si>
  <si>
    <t>S2403</t>
  </si>
  <si>
    <t>建筑装饰</t>
  </si>
  <si>
    <t>S62</t>
  </si>
  <si>
    <t>S2404</t>
  </si>
  <si>
    <t>电气设备</t>
  </si>
  <si>
    <t>S63</t>
  </si>
  <si>
    <t>S2405</t>
  </si>
  <si>
    <t>机械设备</t>
  </si>
  <si>
    <t>S64</t>
  </si>
  <si>
    <t>S2701</t>
  </si>
  <si>
    <t>国防军工</t>
  </si>
  <si>
    <t>S65</t>
  </si>
  <si>
    <t>S2702</t>
  </si>
  <si>
    <t>计算机</t>
  </si>
  <si>
    <t>S71</t>
  </si>
  <si>
    <t>S2703</t>
  </si>
  <si>
    <t>传媒</t>
  </si>
  <si>
    <t>S72</t>
  </si>
  <si>
    <t>S2704</t>
  </si>
  <si>
    <t>通信</t>
  </si>
  <si>
    <t>S73</t>
  </si>
  <si>
    <t>S2705</t>
  </si>
  <si>
    <t>S2801</t>
  </si>
  <si>
    <t>S2802</t>
  </si>
  <si>
    <t>S2803</t>
  </si>
  <si>
    <t>S2804</t>
  </si>
  <si>
    <t>S3301</t>
  </si>
  <si>
    <t>S3302</t>
  </si>
  <si>
    <t>S3403</t>
  </si>
  <si>
    <t>S3404</t>
  </si>
  <si>
    <t>S3501</t>
  </si>
  <si>
    <t>S3502</t>
  </si>
  <si>
    <t>S3601</t>
  </si>
  <si>
    <t>S3602</t>
  </si>
  <si>
    <t>S3603</t>
  </si>
  <si>
    <t>S3604</t>
  </si>
  <si>
    <t>S3701</t>
  </si>
  <si>
    <t>S3702</t>
  </si>
  <si>
    <t>S3703</t>
  </si>
  <si>
    <t>S3704</t>
  </si>
  <si>
    <t>S3705</t>
  </si>
  <si>
    <t>S3706</t>
  </si>
  <si>
    <t>S4101</t>
  </si>
  <si>
    <t>S4102</t>
  </si>
  <si>
    <t>S4103</t>
  </si>
  <si>
    <t>S4104</t>
  </si>
  <si>
    <t>S4201</t>
  </si>
  <si>
    <t>S4202</t>
  </si>
  <si>
    <t>S4203</t>
  </si>
  <si>
    <t>S4204</t>
  </si>
  <si>
    <t>S4205</t>
  </si>
  <si>
    <t>S4206</t>
  </si>
  <si>
    <t>S4207</t>
  </si>
  <si>
    <t>S4208</t>
  </si>
  <si>
    <t>S4301</t>
  </si>
  <si>
    <t>S4302</t>
  </si>
  <si>
    <t>S4502</t>
  </si>
  <si>
    <t>S4503</t>
  </si>
  <si>
    <t>S4504</t>
  </si>
  <si>
    <t>S4505</t>
  </si>
  <si>
    <t>S4601</t>
  </si>
  <si>
    <t>S4602</t>
  </si>
  <si>
    <t>S4603</t>
  </si>
  <si>
    <t>S4604</t>
  </si>
  <si>
    <t>S4605</t>
  </si>
  <si>
    <t>S4801</t>
  </si>
  <si>
    <t>S4901</t>
  </si>
  <si>
    <t>S4902</t>
  </si>
  <si>
    <t>S4903</t>
  </si>
  <si>
    <t>S5101</t>
  </si>
  <si>
    <t>S6101</t>
  </si>
  <si>
    <t>S6102</t>
  </si>
  <si>
    <t>S6103</t>
  </si>
  <si>
    <t>S6201</t>
  </si>
  <si>
    <t>S6202</t>
  </si>
  <si>
    <t>S6203</t>
  </si>
  <si>
    <t>S6204</t>
  </si>
  <si>
    <t>S6205</t>
  </si>
  <si>
    <t>S6301</t>
  </si>
  <si>
    <t>S6302</t>
  </si>
  <si>
    <t>S6303</t>
  </si>
  <si>
    <t>S6304</t>
  </si>
  <si>
    <t>S6401</t>
  </si>
  <si>
    <t>S6402</t>
  </si>
  <si>
    <t>S6403</t>
  </si>
  <si>
    <t>S6404</t>
  </si>
  <si>
    <t>S6405</t>
  </si>
  <si>
    <t>S6501</t>
  </si>
  <si>
    <t>S6502</t>
  </si>
  <si>
    <t>S6503</t>
  </si>
  <si>
    <t>S6504</t>
  </si>
  <si>
    <t>S7101</t>
  </si>
  <si>
    <t>S7102</t>
  </si>
  <si>
    <t>S7201</t>
  </si>
  <si>
    <t>S7202</t>
  </si>
  <si>
    <t>S7203</t>
  </si>
  <si>
    <t>S7301</t>
  </si>
  <si>
    <t>S7302</t>
  </si>
  <si>
    <t>地方证监局</t>
  </si>
  <si>
    <t>代码</t>
  </si>
  <si>
    <t>安徽证监局</t>
  </si>
  <si>
    <t>401</t>
  </si>
  <si>
    <t>北京证监局</t>
  </si>
  <si>
    <t>010</t>
  </si>
  <si>
    <t>大连证监局</t>
  </si>
  <si>
    <t>203</t>
  </si>
  <si>
    <t>福建证监局</t>
  </si>
  <si>
    <t>601</t>
  </si>
  <si>
    <t>甘肃证监局</t>
  </si>
  <si>
    <t>901</t>
  </si>
  <si>
    <t>广东证监局</t>
  </si>
  <si>
    <t>600</t>
  </si>
  <si>
    <t>广西证监局</t>
  </si>
  <si>
    <t>603</t>
  </si>
  <si>
    <t>贵州证监局</t>
  </si>
  <si>
    <t>801</t>
  </si>
  <si>
    <t>海南证监局</t>
  </si>
  <si>
    <t>701</t>
  </si>
  <si>
    <t>河北证监局</t>
  </si>
  <si>
    <t>101</t>
  </si>
  <si>
    <t>河南证监局</t>
  </si>
  <si>
    <t>402</t>
  </si>
  <si>
    <t>黑龙江证监局</t>
  </si>
  <si>
    <t>202</t>
  </si>
  <si>
    <t>湖北证监局</t>
  </si>
  <si>
    <t>500</t>
  </si>
  <si>
    <t>湖南证监局</t>
  </si>
  <si>
    <t>501</t>
  </si>
  <si>
    <t>吉林证监局</t>
  </si>
  <si>
    <t>201</t>
  </si>
  <si>
    <t>江苏证监局</t>
  </si>
  <si>
    <t>301</t>
  </si>
  <si>
    <t>江西证监局</t>
  </si>
  <si>
    <t>502</t>
  </si>
  <si>
    <t>辽宁证监局</t>
  </si>
  <si>
    <t>200</t>
  </si>
  <si>
    <t>内蒙古证监局</t>
  </si>
  <si>
    <t>103</t>
  </si>
  <si>
    <t>宁波证监局</t>
  </si>
  <si>
    <t>303</t>
  </si>
  <si>
    <t>宁夏证监局</t>
  </si>
  <si>
    <t>903</t>
  </si>
  <si>
    <t>青岛证监局</t>
  </si>
  <si>
    <t>403</t>
  </si>
  <si>
    <t>青海证监局</t>
  </si>
  <si>
    <t>902</t>
  </si>
  <si>
    <t>山东证监局</t>
  </si>
  <si>
    <t>400</t>
  </si>
  <si>
    <t>山西证监局</t>
  </si>
  <si>
    <t>102</t>
  </si>
  <si>
    <t>陕西证监局</t>
  </si>
  <si>
    <t>900</t>
  </si>
  <si>
    <t>上海证监局</t>
  </si>
  <si>
    <t>300</t>
  </si>
  <si>
    <t>深圳证监局</t>
  </si>
  <si>
    <t>700</t>
  </si>
  <si>
    <t>四川证监局</t>
  </si>
  <si>
    <t>800</t>
  </si>
  <si>
    <t>天津证监局</t>
  </si>
  <si>
    <t>100</t>
  </si>
  <si>
    <t>西藏证监局</t>
  </si>
  <si>
    <t>803</t>
  </si>
  <si>
    <t>厦门证监局</t>
  </si>
  <si>
    <t>602</t>
  </si>
  <si>
    <t>新疆证监局</t>
  </si>
  <si>
    <t>904</t>
  </si>
  <si>
    <t>云南证监局</t>
  </si>
  <si>
    <t>802</t>
  </si>
  <si>
    <t>浙江证监局</t>
  </si>
  <si>
    <t>302</t>
  </si>
  <si>
    <t>重庆证监局</t>
  </si>
  <si>
    <t>020</t>
  </si>
  <si>
    <t>productName</t>
  </si>
  <si>
    <t>reportPeriod</t>
  </si>
  <si>
    <t>incomeRatio</t>
  </si>
  <si>
    <t>marketShareDomestic</t>
  </si>
  <si>
    <t>market_share_domestic_ranking</t>
  </si>
  <si>
    <t>market_share_global</t>
  </si>
  <si>
    <t>market_share_global_ranking</t>
  </si>
  <si>
    <t>project_name</t>
  </si>
  <si>
    <t>project_start_date</t>
  </si>
  <si>
    <t>project_status</t>
  </si>
  <si>
    <t>play_role</t>
  </si>
  <si>
    <t>total_outlay</t>
  </si>
  <si>
    <t>财政拨款经费（万元）</t>
  </si>
  <si>
    <t>gov_support_outlay</t>
  </si>
  <si>
    <t>发行人自筹经费（万元）</t>
  </si>
  <si>
    <t>issuer_raise_outlay</t>
  </si>
  <si>
    <t>remark</t>
  </si>
  <si>
    <t>standard_name</t>
  </si>
  <si>
    <t>standard_level</t>
  </si>
  <si>
    <t>sponsor_play_role</t>
  </si>
  <si>
    <t>standard_status</t>
  </si>
  <si>
    <t>product_name</t>
  </si>
  <si>
    <t>first_listing_date</t>
  </si>
  <si>
    <t>market_share_domestic</t>
  </si>
  <si>
    <t>import_market_share_early_listing</t>
  </si>
  <si>
    <t>import_market_share_current</t>
  </si>
  <si>
    <t>substition_description</t>
  </si>
</sst>
</file>

<file path=xl/styles.xml><?xml version="1.0" encoding="utf-8"?>
<styleSheet xmlns="http://schemas.openxmlformats.org/spreadsheetml/2006/main">
  <numFmts count="9">
    <numFmt numFmtId="176" formatCode="#,##0.0000_);[Red]\(#,##0.0000\)"/>
    <numFmt numFmtId="177" formatCode="#,##0_ "/>
    <numFmt numFmtId="178" formatCode="#,##0.00_ "/>
    <numFmt numFmtId="179" formatCode="0.00_ "/>
    <numFmt numFmtId="180" formatCode="#,##0.0000_ "/>
    <numFmt numFmtId="181" formatCode="_ * #,##0.00_ ;_ * \-#,##0.00_ ;_ * &quot;-&quot;??_ ;_ @_ "/>
    <numFmt numFmtId="44" formatCode="_(&quot;$&quot;* #,##0.00_);_(&quot;$&quot;* \(#,##0.00\);_(&quot;$&quot;* &quot;-&quot;??_);_(@_)"/>
    <numFmt numFmtId="182" formatCode="_ * #,##0_ ;_ * \-#,##0_ ;_ * &quot;-&quot;_ ;_ @_ "/>
    <numFmt numFmtId="42" formatCode="_(&quot;$&quot;* #,##0_);_(&quot;$&quot;* \(#,##0\);_(&quot;$&quot;* &quot;-&quot;_);_(@_)"/>
  </numFmts>
  <fonts count="62">
    <font>
      <sz val="11"/>
      <color theme="1"/>
      <name val="Calibri"/>
      <charset val="134"/>
      <scheme val="minor"/>
    </font>
    <font>
      <sz val="12"/>
      <color rgb="FF000000"/>
      <name val="微软雅黑"/>
      <charset val="134"/>
    </font>
    <font>
      <sz val="12"/>
      <name val="微软雅黑"/>
      <charset val="134"/>
    </font>
    <font>
      <sz val="12"/>
      <name val="宋体"/>
      <charset val="134"/>
    </font>
    <font>
      <sz val="12"/>
      <color rgb="FF0070C0"/>
      <name val="微软雅黑"/>
      <charset val="134"/>
    </font>
    <font>
      <sz val="12"/>
      <color indexed="8"/>
      <name val="微软雅黑"/>
      <charset val="134"/>
    </font>
    <font>
      <sz val="10"/>
      <color theme="1"/>
      <name val="Calibri"/>
      <charset val="134"/>
      <scheme val="minor"/>
    </font>
    <font>
      <sz val="10"/>
      <name val="宋体"/>
      <charset val="134"/>
    </font>
    <font>
      <sz val="11"/>
      <color theme="1"/>
      <name val="Calibri"/>
      <charset val="134"/>
      <scheme val="minor"/>
    </font>
    <font>
      <sz val="11"/>
      <color theme="9" tint="-0.249977111117893"/>
      <name val="Calibri"/>
      <charset val="134"/>
      <scheme val="minor"/>
    </font>
    <font>
      <sz val="11"/>
      <color theme="9" tint="-0.249977111117893"/>
      <name val="Calibri"/>
      <charset val="134"/>
      <scheme val="minor"/>
    </font>
    <font>
      <sz val="11"/>
      <name val="Calibri"/>
      <charset val="134"/>
      <scheme val="minor"/>
    </font>
    <font>
      <strike/>
      <sz val="11"/>
      <color theme="1"/>
      <name val="Calibri"/>
      <charset val="134"/>
      <scheme val="minor"/>
    </font>
    <font>
      <sz val="10"/>
      <color theme="9" tint="-0.249977111117893"/>
      <name val="宋体"/>
      <charset val="134"/>
    </font>
    <font>
      <sz val="12"/>
      <color theme="1"/>
      <name val="微软雅黑"/>
      <charset val="134"/>
    </font>
    <font>
      <sz val="10"/>
      <color indexed="8"/>
      <name val="宋体"/>
      <charset val="134"/>
    </font>
    <font>
      <sz val="11"/>
      <color rgb="FF333333"/>
      <name val="宋体"/>
      <charset val="134"/>
    </font>
    <font>
      <sz val="11"/>
      <color rgb="FFFF0000"/>
      <name val="Calibri"/>
      <charset val="134"/>
      <scheme val="minor"/>
    </font>
    <font>
      <sz val="11"/>
      <color rgb="FF000000"/>
      <name val="微软雅黑"/>
      <charset val="134"/>
    </font>
    <font>
      <sz val="11"/>
      <color theme="1"/>
      <name val="微软雅黑"/>
      <charset val="134"/>
    </font>
    <font>
      <sz val="11"/>
      <color rgb="FFFF0000"/>
      <name val="Calibri"/>
      <charset val="134"/>
      <scheme val="minor"/>
    </font>
    <font>
      <sz val="12"/>
      <color theme="1" tint="0.249977111117893"/>
      <name val="微软雅黑"/>
      <charset val="134"/>
    </font>
    <font>
      <sz val="12"/>
      <color rgb="FFFF0000"/>
      <name val="微软雅黑"/>
      <charset val="134"/>
    </font>
    <font>
      <sz val="11"/>
      <name val="微软雅黑"/>
      <charset val="134"/>
    </font>
    <font>
      <b/>
      <sz val="12"/>
      <color theme="1" tint="0.249977111117893"/>
      <name val="微软雅黑"/>
      <charset val="134"/>
    </font>
    <font>
      <sz val="11"/>
      <color theme="1" tint="0.249977111117893"/>
      <name val="微软雅黑"/>
      <charset val="134"/>
    </font>
    <font>
      <sz val="11"/>
      <color indexed="8"/>
      <name val="微软雅黑"/>
      <charset val="134"/>
    </font>
    <font>
      <b/>
      <sz val="11"/>
      <color theme="1" tint="0.249977111117893"/>
      <name val="微软雅黑"/>
      <charset val="134"/>
    </font>
    <font>
      <u/>
      <sz val="11"/>
      <color theme="10"/>
      <name val="Calibri"/>
      <charset val="134"/>
      <scheme val="minor"/>
    </font>
    <font>
      <b/>
      <sz val="12"/>
      <name val="微软雅黑"/>
      <charset val="134"/>
    </font>
    <font>
      <sz val="10.5"/>
      <color theme="1" tint="0.249977111117893"/>
      <name val="微软雅黑"/>
      <charset val="134"/>
    </font>
    <font>
      <sz val="12"/>
      <color theme="1"/>
      <name val="Calibri"/>
      <charset val="134"/>
      <scheme val="minor"/>
    </font>
    <font>
      <sz val="10.5"/>
      <name val="微软雅黑"/>
      <charset val="134"/>
    </font>
    <font>
      <sz val="12"/>
      <color indexed="8"/>
      <name val="Courier New"/>
      <charset val="134"/>
    </font>
    <font>
      <b/>
      <u/>
      <sz val="18"/>
      <name val="微软雅黑"/>
      <charset val="134"/>
    </font>
    <font>
      <u/>
      <sz val="14"/>
      <name val="微软雅黑"/>
      <charset val="134"/>
    </font>
    <font>
      <sz val="12"/>
      <color theme="1" tint="0.149998474074526"/>
      <name val="微软雅黑"/>
      <charset val="134"/>
    </font>
    <font>
      <sz val="28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sz val="12"/>
      <color indexed="8"/>
      <name val="宋体"/>
      <charset val="134"/>
    </font>
    <font>
      <u/>
      <sz val="11"/>
      <color rgb="FF800080"/>
      <name val="Calibri"/>
      <charset val="0"/>
      <scheme val="minor"/>
    </font>
    <font>
      <sz val="12"/>
      <color indexed="9"/>
      <name val="宋体"/>
      <charset val="134"/>
    </font>
    <font>
      <i/>
      <sz val="11"/>
      <color rgb="FF7F7F7F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2"/>
      <color indexed="8"/>
      <name val="宋体"/>
      <charset val="134"/>
    </font>
    <font>
      <sz val="11"/>
      <color rgb="FFFA7D0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8"/>
      <color indexed="62"/>
      <name val="宋体"/>
      <charset val="134"/>
    </font>
    <font>
      <b/>
      <sz val="18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FF0000"/>
      <name val="微软雅黑"/>
      <charset val="134"/>
    </font>
  </fonts>
  <fills count="54">
    <fill>
      <patternFill patternType="none"/>
    </fill>
    <fill>
      <patternFill patternType="gray125"/>
    </fill>
    <fill>
      <patternFill patternType="solid">
        <fgColor rgb="FFB6CEE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indexed="54"/>
        <bgColor indexed="54"/>
      </patternFill>
    </fill>
    <fill>
      <patternFill patternType="solid">
        <fgColor theme="4" tint="0.799981688894314"/>
        <bgColor indexed="64"/>
      </patternFill>
    </fill>
    <fill>
      <patternFill patternType="solid">
        <fgColor indexed="25"/>
        <bgColor indexed="25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indexed="55"/>
        <bgColor indexed="55"/>
      </patternFill>
    </fill>
    <fill>
      <patternFill patternType="solid">
        <fgColor rgb="FFFFCC99"/>
        <bgColor indexed="64"/>
      </patternFill>
    </fill>
    <fill>
      <patternFill patternType="lightUp">
        <fgColor indexed="9"/>
        <bgColor indexed="22"/>
      </patternFill>
    </fill>
    <fill>
      <patternFill patternType="lightUp">
        <fgColor indexed="9"/>
        <bgColor indexed="55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indexed="44"/>
        <bgColor indexed="4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rgb="FFC6EFCE"/>
        <bgColor indexed="64"/>
      </patternFill>
    </fill>
    <fill>
      <patternFill patternType="solid">
        <fgColor indexed="49"/>
        <bgColor indexed="49"/>
      </patternFill>
    </fill>
    <fill>
      <patternFill patternType="lightUp">
        <fgColor indexed="9"/>
        <bgColor indexed="29"/>
      </patternFill>
    </fill>
  </fills>
  <borders count="6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 style="thin">
        <color auto="1"/>
      </left>
      <right/>
      <top style="thin">
        <color theme="1" tint="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1" tint="0.249977111117893"/>
      </top>
      <bottom style="thin">
        <color auto="1"/>
      </bottom>
      <diagonal/>
    </border>
    <border>
      <left style="thin">
        <color theme="1" tint="0.249977111117893"/>
      </left>
      <right/>
      <top style="thin">
        <color auto="1"/>
      </top>
      <bottom style="thin">
        <color theme="1" tint="0.249977111117893"/>
      </bottom>
      <diagonal/>
    </border>
    <border>
      <left/>
      <right/>
      <top style="thin">
        <color auto="1"/>
      </top>
      <bottom style="thin">
        <color theme="1" tint="0.249977111117893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auto="1"/>
      </top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auto="1"/>
      </bottom>
      <diagonal/>
    </border>
    <border>
      <left/>
      <right/>
      <top style="thin">
        <color theme="1" tint="0.249977111117893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theme="1" tint="0.249977111117893"/>
      </top>
      <bottom/>
      <diagonal/>
    </border>
    <border>
      <left/>
      <right style="thin">
        <color auto="1"/>
      </right>
      <top/>
      <bottom style="thin">
        <color theme="1" tint="0.249977111117893"/>
      </bottom>
      <diagonal/>
    </border>
    <border>
      <left style="thin">
        <color theme="3" tint="-0.249977111117893"/>
      </left>
      <right style="thin">
        <color theme="3" tint="-0.249977111117893"/>
      </right>
      <top style="thin">
        <color theme="3" tint="-0.249977111117893"/>
      </top>
      <bottom style="thin">
        <color theme="3" tint="-0.249977111117893"/>
      </bottom>
      <diagonal/>
    </border>
    <border>
      <left style="thin">
        <color theme="3" tint="-0.249977111117893"/>
      </left>
      <right/>
      <top style="thin">
        <color theme="3" tint="-0.249977111117893"/>
      </top>
      <bottom style="thin">
        <color theme="3" tint="-0.249977111117893"/>
      </bottom>
      <diagonal/>
    </border>
    <border>
      <left style="thin">
        <color indexed="10"/>
      </left>
      <right style="thin">
        <color theme="3" tint="-0.249977111117893"/>
      </right>
      <top style="thin">
        <color theme="3" tint="-0.249977111117893"/>
      </top>
      <bottom style="thin">
        <color theme="3" tint="-0.249977111117893"/>
      </bottom>
      <diagonal/>
    </border>
    <border>
      <left style="thin">
        <color theme="3" tint="-0.249977111117893"/>
      </left>
      <right/>
      <top/>
      <bottom/>
      <diagonal/>
    </border>
    <border>
      <left style="thin">
        <color theme="3" tint="-0.249977111117893"/>
      </left>
      <right/>
      <top style="thin">
        <color theme="3" tint="-0.249977111117893"/>
      </top>
      <bottom/>
      <diagonal/>
    </border>
    <border>
      <left style="thin">
        <color indexed="10"/>
      </left>
      <right style="thin">
        <color theme="3" tint="-0.249977111117893"/>
      </right>
      <top style="thin">
        <color theme="3" tint="-0.249977111117893"/>
      </top>
      <bottom/>
      <diagonal/>
    </border>
    <border>
      <left style="thin">
        <color theme="3" tint="-0.249977111117893"/>
      </left>
      <right style="thin">
        <color theme="3" tint="-0.249977111117893"/>
      </right>
      <top style="thin">
        <color theme="3" tint="-0.249977111117893"/>
      </top>
      <bottom/>
      <diagonal/>
    </border>
    <border>
      <left style="thin">
        <color theme="3" tint="-0.249977111117893"/>
      </left>
      <right/>
      <top/>
      <bottom style="thin">
        <color theme="3" tint="-0.249977111117893"/>
      </bottom>
      <diagonal/>
    </border>
    <border>
      <left style="thin">
        <color indexed="10"/>
      </left>
      <right style="thin">
        <color theme="3" tint="-0.249977111117893"/>
      </right>
      <top/>
      <bottom style="thin">
        <color theme="3" tint="-0.249977111117893"/>
      </bottom>
      <diagonal/>
    </border>
    <border>
      <left/>
      <right style="thin">
        <color theme="3" tint="-0.249977111117893"/>
      </right>
      <top style="thin">
        <color theme="3" tint="-0.249977111117893"/>
      </top>
      <bottom style="thin">
        <color theme="3" tint="-0.249977111117893"/>
      </bottom>
      <diagonal/>
    </border>
    <border>
      <left/>
      <right style="thin">
        <color theme="3" tint="-0.249977111117893"/>
      </right>
      <top style="thin">
        <color auto="1"/>
      </top>
      <bottom/>
      <diagonal/>
    </border>
    <border>
      <left style="thin">
        <color theme="3" tint="-0.249977111117893"/>
      </left>
      <right/>
      <top style="thin">
        <color auto="1"/>
      </top>
      <bottom style="thin">
        <color theme="3" tint="-0.249977111117893"/>
      </bottom>
      <diagonal/>
    </border>
    <border>
      <left/>
      <right style="thin">
        <color theme="3" tint="-0.249977111117893"/>
      </right>
      <top style="thin">
        <color auto="1"/>
      </top>
      <bottom style="thin">
        <color theme="3" tint="-0.249977111117893"/>
      </bottom>
      <diagonal/>
    </border>
    <border>
      <left style="thin">
        <color theme="3" tint="-0.249977111117893"/>
      </left>
      <right style="thin">
        <color auto="1"/>
      </right>
      <top style="thin">
        <color theme="3" tint="-0.249977111117893"/>
      </top>
      <bottom/>
      <diagonal/>
    </border>
    <border>
      <left style="thin">
        <color theme="3" tint="-0.249977111117893"/>
      </left>
      <right style="thin">
        <color theme="3" tint="-0.249977111117893"/>
      </right>
      <top/>
      <bottom style="thin">
        <color theme="3" tint="-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 style="thin">
        <color auto="1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auto="1"/>
      </left>
      <right/>
      <top/>
      <bottom style="thin">
        <color theme="1" tint="0.249977111117893"/>
      </bottom>
      <diagonal/>
    </border>
    <border>
      <left style="thin">
        <color auto="1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auto="1"/>
      </right>
      <top style="thin">
        <color theme="1" tint="0.249977111117893"/>
      </top>
      <bottom style="thin">
        <color theme="1" tint="0.249977111117893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88">
    <xf numFmtId="0" fontId="0" fillId="0" borderId="0">
      <alignment vertical="center"/>
    </xf>
    <xf numFmtId="0" fontId="52" fillId="53" borderId="0" applyNumberFormat="0" applyBorder="0" applyAlignment="0" applyProtection="0"/>
    <xf numFmtId="0" fontId="52" fillId="30" borderId="0" applyNumberFormat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7" fillId="0" borderId="0" applyNumberForma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0" fontId="42" fillId="39" borderId="0" applyNumberFormat="0" applyBorder="0" applyAlignment="0" applyProtection="0"/>
    <xf numFmtId="0" fontId="40" fillId="39" borderId="0" applyNumberFormat="0" applyBorder="0" applyAlignment="0" applyProtection="0"/>
    <xf numFmtId="0" fontId="42" fillId="46" borderId="0" applyNumberFormat="0" applyBorder="0" applyAlignment="0" applyProtection="0"/>
    <xf numFmtId="0" fontId="40" fillId="43" borderId="0" applyNumberFormat="0" applyBorder="0" applyAlignment="0" applyProtection="0"/>
    <xf numFmtId="0" fontId="52" fillId="29" borderId="0" applyNumberFormat="0" applyBorder="0" applyAlignment="0" applyProtection="0"/>
    <xf numFmtId="0" fontId="40" fillId="50" borderId="0" applyNumberFormat="0" applyBorder="0" applyAlignment="0" applyProtection="0"/>
    <xf numFmtId="0" fontId="42" fillId="27" borderId="0" applyNumberFormat="0" applyBorder="0" applyAlignment="0" applyProtection="0"/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40" fillId="16" borderId="0" applyNumberFormat="0" applyBorder="0" applyAlignment="0" applyProtection="0"/>
    <xf numFmtId="0" fontId="3" fillId="0" borderId="0">
      <alignment vertical="center"/>
    </xf>
    <xf numFmtId="0" fontId="40" fillId="14" borderId="0" applyNumberFormat="0" applyBorder="0" applyAlignment="0" applyProtection="0"/>
    <xf numFmtId="49" fontId="3" fillId="0" borderId="2" applyFill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9" fillId="42" borderId="0" applyNumberFormat="0" applyBorder="0" applyAlignment="0" applyProtection="0">
      <alignment vertical="center"/>
    </xf>
    <xf numFmtId="0" fontId="3" fillId="0" borderId="0">
      <alignment vertical="center"/>
    </xf>
    <xf numFmtId="0" fontId="42" fillId="46" borderId="0" applyNumberFormat="0" applyBorder="0" applyAlignment="0" applyProtection="0"/>
    <xf numFmtId="0" fontId="42" fillId="38" borderId="0" applyNumberFormat="0" applyBorder="0" applyAlignment="0" applyProtection="0"/>
    <xf numFmtId="0" fontId="46" fillId="36" borderId="0" applyNumberFormat="0" applyBorder="0" applyAlignment="0" applyProtection="0">
      <alignment vertical="center"/>
    </xf>
    <xf numFmtId="0" fontId="46" fillId="24" borderId="0" applyNumberFormat="0" applyBorder="0" applyAlignment="0" applyProtection="0">
      <alignment vertical="center"/>
    </xf>
    <xf numFmtId="0" fontId="49" fillId="35" borderId="0" applyNumberFormat="0" applyBorder="0" applyAlignment="0" applyProtection="0">
      <alignment vertical="center"/>
    </xf>
    <xf numFmtId="0" fontId="3" fillId="0" borderId="0">
      <alignment vertical="center"/>
    </xf>
    <xf numFmtId="0" fontId="42" fillId="52" borderId="0" applyNumberFormat="0" applyBorder="0" applyAlignment="0" applyProtection="0"/>
    <xf numFmtId="0" fontId="46" fillId="34" borderId="0" applyNumberFormat="0" applyBorder="0" applyAlignment="0" applyProtection="0">
      <alignment vertical="center"/>
    </xf>
    <xf numFmtId="0" fontId="3" fillId="0" borderId="0">
      <alignment vertical="center"/>
    </xf>
    <xf numFmtId="0" fontId="42" fillId="21" borderId="0" applyNumberFormat="0" applyBorder="0" applyAlignment="0" applyProtection="0"/>
    <xf numFmtId="0" fontId="53" fillId="0" borderId="58" applyNumberFormat="0" applyFill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0" fillId="15" borderId="0" applyNumberFormat="0" applyBorder="0" applyAlignment="0" applyProtection="0"/>
    <xf numFmtId="0" fontId="49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40" fillId="15" borderId="0" applyNumberFormat="0" applyBorder="0" applyAlignment="0" applyProtection="0"/>
    <xf numFmtId="0" fontId="42" fillId="27" borderId="0" applyNumberFormat="0" applyBorder="0" applyAlignment="0" applyProtection="0"/>
    <xf numFmtId="0" fontId="46" fillId="37" borderId="0" applyNumberFormat="0" applyBorder="0" applyAlignment="0" applyProtection="0">
      <alignment vertical="center"/>
    </xf>
    <xf numFmtId="0" fontId="46" fillId="25" borderId="0" applyNumberFormat="0" applyBorder="0" applyAlignment="0" applyProtection="0">
      <alignment vertical="center"/>
    </xf>
    <xf numFmtId="0" fontId="42" fillId="23" borderId="0" applyNumberFormat="0" applyBorder="0" applyAlignment="0" applyProtection="0"/>
    <xf numFmtId="9" fontId="3" fillId="0" borderId="0" applyFont="0" applyFill="0" applyBorder="0" applyAlignment="0" applyProtection="0">
      <alignment vertical="center"/>
    </xf>
    <xf numFmtId="0" fontId="40" fillId="15" borderId="0" applyNumberFormat="0" applyBorder="0" applyAlignment="0" applyProtection="0"/>
    <xf numFmtId="0" fontId="46" fillId="47" borderId="0" applyNumberFormat="0" applyBorder="0" applyAlignment="0" applyProtection="0">
      <alignment vertical="center"/>
    </xf>
    <xf numFmtId="0" fontId="42" fillId="16" borderId="0" applyNumberFormat="0" applyBorder="0" applyAlignment="0" applyProtection="0"/>
    <xf numFmtId="0" fontId="46" fillId="22" borderId="0" applyNumberFormat="0" applyBorder="0" applyAlignment="0" applyProtection="0">
      <alignment vertical="center"/>
    </xf>
    <xf numFmtId="0" fontId="42" fillId="21" borderId="0" applyNumberFormat="0" applyBorder="0" applyAlignment="0" applyProtection="0"/>
    <xf numFmtId="0" fontId="56" fillId="33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6" fillId="20" borderId="0" applyNumberFormat="0" applyBorder="0" applyAlignment="0" applyProtection="0">
      <alignment vertical="center"/>
    </xf>
    <xf numFmtId="0" fontId="47" fillId="0" borderId="57" applyNumberFormat="0" applyFill="0" applyAlignment="0" applyProtection="0">
      <alignment vertical="center"/>
    </xf>
    <xf numFmtId="0" fontId="55" fillId="17" borderId="59" applyNumberFormat="0" applyAlignment="0" applyProtection="0">
      <alignment vertical="center"/>
    </xf>
    <xf numFmtId="44" fontId="38" fillId="0" borderId="0" applyFont="0" applyFill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38" fillId="41" borderId="60" applyNumberFormat="0" applyFont="0" applyAlignment="0" applyProtection="0">
      <alignment vertical="center"/>
    </xf>
    <xf numFmtId="0" fontId="51" fillId="28" borderId="56" applyNumberFormat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17" borderId="56" applyNumberFormat="0" applyAlignment="0" applyProtection="0">
      <alignment vertical="center"/>
    </xf>
    <xf numFmtId="0" fontId="40" fillId="16" borderId="0" applyNumberFormat="0" applyBorder="0" applyAlignment="0" applyProtection="0"/>
    <xf numFmtId="0" fontId="60" fillId="51" borderId="0" applyNumberFormat="0" applyBorder="0" applyAlignment="0" applyProtection="0">
      <alignment vertical="center"/>
    </xf>
    <xf numFmtId="0" fontId="44" fillId="0" borderId="55" applyNumberFormat="0" applyFill="0" applyAlignment="0" applyProtection="0">
      <alignment vertical="center"/>
    </xf>
    <xf numFmtId="0" fontId="40" fillId="14" borderId="0" applyNumberFormat="0" applyBorder="0" applyAlignment="0" applyProtection="0"/>
    <xf numFmtId="0" fontId="43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50" fillId="0" borderId="54" applyNumberFormat="0" applyFill="0" applyAlignment="0" applyProtection="0">
      <alignment vertical="center"/>
    </xf>
    <xf numFmtId="0" fontId="42" fillId="16" borderId="0" applyNumberFormat="0" applyBorder="0" applyAlignment="0" applyProtection="0"/>
    <xf numFmtId="182" fontId="38" fillId="0" borderId="0" applyFont="0" applyFill="0" applyBorder="0" applyAlignment="0" applyProtection="0">
      <alignment vertical="center"/>
    </xf>
    <xf numFmtId="0" fontId="40" fillId="15" borderId="0" applyNumberFormat="0" applyBorder="0" applyAlignment="0" applyProtection="0"/>
    <xf numFmtId="0" fontId="46" fillId="45" borderId="0" applyNumberFormat="0" applyBorder="0" applyAlignment="0" applyProtection="0">
      <alignment vertical="center"/>
    </xf>
    <xf numFmtId="0" fontId="3" fillId="0" borderId="0"/>
    <xf numFmtId="0" fontId="58" fillId="0" borderId="0" applyNumberFormat="0" applyFill="0" applyBorder="0" applyAlignment="0" applyProtection="0">
      <alignment vertical="center"/>
    </xf>
    <xf numFmtId="42" fontId="38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0" fillId="14" borderId="0" applyNumberFormat="0" applyBorder="0" applyAlignment="0" applyProtection="0"/>
    <xf numFmtId="0" fontId="39" fillId="0" borderId="54" applyNumberFormat="0" applyFill="0" applyAlignment="0" applyProtection="0">
      <alignment vertical="center"/>
    </xf>
    <xf numFmtId="181" fontId="38" fillId="0" borderId="0" applyFont="0" applyFill="0" applyBorder="0" applyAlignment="0" applyProtection="0">
      <alignment vertical="center"/>
    </xf>
    <xf numFmtId="0" fontId="59" fillId="48" borderId="61" applyNumberFormat="0" applyAlignment="0" applyProtection="0">
      <alignment vertical="center"/>
    </xf>
    <xf numFmtId="0" fontId="49" fillId="26" borderId="0" applyNumberFormat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</cellStyleXfs>
  <cellXfs count="295">
    <xf numFmtId="0" fontId="0" fillId="0" borderId="0" xfId="0">
      <alignment vertical="center"/>
    </xf>
    <xf numFmtId="0" fontId="1" fillId="0" borderId="1" xfId="39" applyFont="1" applyBorder="1" applyAlignment="1">
      <alignment vertical="center" wrapText="1"/>
    </xf>
    <xf numFmtId="0" fontId="1" fillId="0" borderId="2" xfId="39" applyFont="1" applyBorder="1" applyAlignment="1">
      <alignment horizontal="left" vertical="center" wrapText="1"/>
    </xf>
    <xf numFmtId="0" fontId="1" fillId="0" borderId="1" xfId="39" applyFont="1" applyBorder="1" applyAlignment="1">
      <alignment horizontal="center" vertical="center" wrapText="1"/>
    </xf>
    <xf numFmtId="0" fontId="1" fillId="0" borderId="1" xfId="39" applyFont="1" applyBorder="1" applyAlignment="1">
      <alignment horizontal="left" vertical="center" wrapText="1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49" fontId="2" fillId="0" borderId="1" xfId="39" applyNumberFormat="1" applyFont="1" applyBorder="1" applyAlignment="1">
      <alignment horizontal="left"/>
    </xf>
    <xf numFmtId="0" fontId="0" fillId="3" borderId="0" xfId="0" applyFill="1">
      <alignment vertical="center"/>
    </xf>
    <xf numFmtId="49" fontId="0" fillId="3" borderId="0" xfId="0" applyNumberFormat="1" applyFill="1">
      <alignment vertical="center"/>
    </xf>
    <xf numFmtId="49" fontId="0" fillId="3" borderId="0" xfId="0" applyNumberFormat="1" applyFill="1" applyAlignment="1">
      <alignment horizontal="left"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>
      <alignment vertical="center"/>
    </xf>
    <xf numFmtId="0" fontId="3" fillId="4" borderId="0" xfId="39" applyFont="1" applyFill="1">
      <alignment vertical="center"/>
    </xf>
    <xf numFmtId="0" fontId="3" fillId="0" borderId="0" xfId="39" applyFont="1">
      <alignment vertical="center"/>
    </xf>
    <xf numFmtId="0" fontId="3" fillId="0" borderId="0" xfId="39">
      <alignment vertical="center"/>
    </xf>
    <xf numFmtId="0" fontId="0" fillId="0" borderId="0" xfId="0" applyAlignment="1">
      <alignment horizontal="left" vertical="center"/>
    </xf>
    <xf numFmtId="0" fontId="4" fillId="0" borderId="1" xfId="39" applyFont="1" applyBorder="1" applyAlignment="1"/>
    <xf numFmtId="49" fontId="2" fillId="0" borderId="2" xfId="39" applyNumberFormat="1" applyFont="1" applyBorder="1" applyAlignment="1">
      <alignment horizontal="left"/>
    </xf>
    <xf numFmtId="49" fontId="4" fillId="0" borderId="1" xfId="39" applyNumberFormat="1" applyFont="1" applyBorder="1" applyAlignment="1">
      <alignment horizontal="left"/>
    </xf>
    <xf numFmtId="0" fontId="5" fillId="0" borderId="1" xfId="39" applyFont="1" applyBorder="1" applyAlignment="1"/>
    <xf numFmtId="0" fontId="0" fillId="0" borderId="1" xfId="0" applyBorder="1">
      <alignment vertical="center"/>
    </xf>
    <xf numFmtId="49" fontId="0" fillId="0" borderId="0" xfId="0" applyNumberFormat="1" applyFill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30" applyNumberFormat="1" applyFont="1" applyFill="1" applyAlignment="1">
      <alignment horizontal="left" vertical="center"/>
    </xf>
    <xf numFmtId="49" fontId="7" fillId="0" borderId="0" xfId="30" applyNumberFormat="1" applyFont="1" applyAlignment="1">
      <alignment horizontal="left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49" fontId="3" fillId="0" borderId="0" xfId="39" applyNumberFormat="1" applyAlignment="1">
      <alignment horizontal="left" vertical="center"/>
    </xf>
    <xf numFmtId="0" fontId="11" fillId="0" borderId="0" xfId="0" applyFont="1">
      <alignment vertical="center"/>
    </xf>
    <xf numFmtId="49" fontId="3" fillId="0" borderId="0" xfId="30" applyNumberFormat="1" applyAlignment="1">
      <alignment horizontal="left" vertical="center"/>
    </xf>
    <xf numFmtId="49" fontId="7" fillId="0" borderId="0" xfId="15" applyNumberFormat="1" applyFont="1" applyAlignment="1">
      <alignment horizontal="left" vertical="center"/>
    </xf>
    <xf numFmtId="0" fontId="0" fillId="5" borderId="0" xfId="0" applyFill="1">
      <alignment vertical="center"/>
    </xf>
    <xf numFmtId="0" fontId="12" fillId="0" borderId="0" xfId="0" applyFont="1">
      <alignment vertical="center"/>
    </xf>
    <xf numFmtId="49" fontId="3" fillId="0" borderId="0" xfId="39" applyNumberFormat="1" applyFont="1" applyAlignment="1">
      <alignment horizontal="left" vertical="center"/>
    </xf>
    <xf numFmtId="49" fontId="7" fillId="6" borderId="0" xfId="30" applyNumberFormat="1" applyFont="1" applyFill="1" applyAlignment="1">
      <alignment horizontal="left" vertical="center"/>
    </xf>
    <xf numFmtId="0" fontId="9" fillId="0" borderId="0" xfId="0" applyFont="1" applyAlignment="1"/>
    <xf numFmtId="49" fontId="0" fillId="0" borderId="0" xfId="0" applyNumberFormat="1" applyAlignment="1"/>
    <xf numFmtId="49" fontId="10" fillId="0" borderId="0" xfId="0" applyNumberFormat="1" applyFont="1" applyAlignment="1"/>
    <xf numFmtId="49" fontId="7" fillId="0" borderId="0" xfId="15" applyNumberFormat="1" applyFont="1" applyFill="1" applyAlignment="1">
      <alignment horizontal="left" vertical="center"/>
    </xf>
    <xf numFmtId="49" fontId="7" fillId="0" borderId="0" xfId="18" applyNumberFormat="1" applyFont="1" applyFill="1" applyAlignment="1">
      <alignment horizontal="left" vertical="center"/>
    </xf>
    <xf numFmtId="49" fontId="13" fillId="0" borderId="0" xfId="18" applyNumberFormat="1" applyFont="1" applyFill="1" applyAlignment="1">
      <alignment horizontal="left" vertical="center"/>
    </xf>
    <xf numFmtId="49" fontId="7" fillId="0" borderId="0" xfId="39" applyNumberFormat="1" applyFont="1" applyAlignment="1">
      <alignment horizontal="left" vertical="center"/>
    </xf>
    <xf numFmtId="49" fontId="13" fillId="0" borderId="0" xfId="15" applyNumberFormat="1" applyFont="1" applyFill="1" applyAlignment="1">
      <alignment horizontal="left" vertical="center"/>
    </xf>
    <xf numFmtId="49" fontId="6" fillId="0" borderId="0" xfId="0" applyNumberFormat="1" applyFont="1" applyFill="1" applyAlignment="1">
      <alignment horizontal="left" vertical="center"/>
    </xf>
    <xf numFmtId="0" fontId="2" fillId="3" borderId="2" xfId="39" applyFont="1" applyFill="1" applyBorder="1" applyAlignment="1">
      <alignment horizontal="center" vertical="center"/>
    </xf>
    <xf numFmtId="0" fontId="2" fillId="3" borderId="3" xfId="39" applyFont="1" applyFill="1" applyBorder="1" applyAlignment="1">
      <alignment horizontal="center" vertical="center"/>
    </xf>
    <xf numFmtId="0" fontId="5" fillId="0" borderId="1" xfId="39" applyFont="1" applyBorder="1" applyAlignment="1">
      <alignment vertical="center" wrapText="1"/>
    </xf>
    <xf numFmtId="3" fontId="1" fillId="0" borderId="1" xfId="39" applyNumberFormat="1" applyFont="1" applyBorder="1" applyAlignment="1">
      <alignment horizontal="left" vertical="center" wrapText="1"/>
    </xf>
    <xf numFmtId="0" fontId="1" fillId="0" borderId="0" xfId="39" applyFont="1" applyBorder="1" applyAlignment="1">
      <alignment horizontal="left" vertical="center" wrapText="1"/>
    </xf>
    <xf numFmtId="0" fontId="1" fillId="0" borderId="0" xfId="39" applyFont="1" applyBorder="1" applyAlignment="1">
      <alignment vertical="center" wrapText="1"/>
    </xf>
    <xf numFmtId="0" fontId="2" fillId="3" borderId="4" xfId="39" applyFont="1" applyFill="1" applyBorder="1" applyAlignment="1">
      <alignment horizontal="center" vertical="center"/>
    </xf>
    <xf numFmtId="0" fontId="2" fillId="0" borderId="1" xfId="39" applyFont="1" applyBorder="1" applyAlignment="1">
      <alignment horizontal="left" vertical="center"/>
    </xf>
    <xf numFmtId="0" fontId="1" fillId="0" borderId="5" xfId="39" applyFont="1" applyFill="1" applyBorder="1" applyAlignment="1">
      <alignment horizontal="left" vertical="center" wrapText="1"/>
    </xf>
    <xf numFmtId="0" fontId="14" fillId="0" borderId="1" xfId="39" applyFont="1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3" fillId="7" borderId="0" xfId="39" applyFont="1" applyFill="1">
      <alignment vertical="center"/>
    </xf>
    <xf numFmtId="49" fontId="3" fillId="0" borderId="0" xfId="39" applyNumberFormat="1" applyFont="1">
      <alignment vertical="center"/>
    </xf>
    <xf numFmtId="0" fontId="3" fillId="0" borderId="0" xfId="39" applyFont="1" applyAlignment="1" applyProtection="1">
      <alignment horizontal="left" vertical="center"/>
      <protection locked="0"/>
    </xf>
    <xf numFmtId="0" fontId="3" fillId="0" borderId="0" xfId="39" applyAlignment="1" applyProtection="1">
      <alignment horizontal="left" vertical="center"/>
      <protection locked="0"/>
    </xf>
    <xf numFmtId="0" fontId="0" fillId="0" borderId="0" xfId="0" applyNumberFormat="1">
      <alignment vertical="center"/>
    </xf>
    <xf numFmtId="0" fontId="15" fillId="0" borderId="1" xfId="39" applyFont="1" applyBorder="1" applyAlignment="1"/>
    <xf numFmtId="49" fontId="3" fillId="0" borderId="1" xfId="39" applyNumberFormat="1" applyBorder="1" applyAlignment="1">
      <alignment horizontal="left"/>
    </xf>
    <xf numFmtId="0" fontId="15" fillId="0" borderId="0" xfId="39" applyFont="1" applyAlignment="1"/>
    <xf numFmtId="0" fontId="3" fillId="7" borderId="6" xfId="39" applyFont="1" applyFill="1" applyBorder="1">
      <alignment vertical="center"/>
    </xf>
    <xf numFmtId="0" fontId="3" fillId="7" borderId="7" xfId="39" applyFont="1" applyFill="1" applyBorder="1">
      <alignment vertical="center"/>
    </xf>
    <xf numFmtId="0" fontId="15" fillId="8" borderId="1" xfId="39" applyFont="1" applyFill="1" applyBorder="1" applyAlignment="1"/>
    <xf numFmtId="49" fontId="3" fillId="8" borderId="2" xfId="39" applyNumberFormat="1" applyFont="1" applyFill="1" applyBorder="1" applyAlignment="1">
      <alignment horizontal="left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49" fontId="3" fillId="8" borderId="1" xfId="39" applyNumberFormat="1" applyFont="1" applyFill="1" applyBorder="1" applyAlignment="1">
      <alignment horizontal="left"/>
    </xf>
    <xf numFmtId="49" fontId="3" fillId="0" borderId="1" xfId="39" applyNumberFormat="1" applyFont="1" applyBorder="1" applyAlignment="1">
      <alignment horizontal="left"/>
    </xf>
    <xf numFmtId="0" fontId="3" fillId="7" borderId="11" xfId="39" applyFont="1" applyFill="1" applyBorder="1">
      <alignment vertical="center"/>
    </xf>
    <xf numFmtId="49" fontId="0" fillId="0" borderId="11" xfId="0" applyNumberFormat="1" applyBorder="1">
      <alignment vertical="center"/>
    </xf>
    <xf numFmtId="0" fontId="0" fillId="0" borderId="12" xfId="0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3" fillId="0" borderId="9" xfId="39" applyFont="1" applyBorder="1">
      <alignment vertical="center"/>
    </xf>
    <xf numFmtId="0" fontId="3" fillId="0" borderId="13" xfId="39" applyBorder="1">
      <alignment vertical="center"/>
    </xf>
    <xf numFmtId="0" fontId="3" fillId="7" borderId="0" xfId="39" applyFont="1" applyFill="1" applyBorder="1">
      <alignment vertical="center"/>
    </xf>
    <xf numFmtId="0" fontId="0" fillId="0" borderId="0" xfId="0" applyNumberFormat="1" applyAlignment="1">
      <alignment horizontal="left"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8" fillId="9" borderId="14" xfId="39" applyFont="1" applyFill="1" applyBorder="1" applyAlignment="1">
      <alignment horizontal="left" vertical="center" wrapText="1"/>
    </xf>
    <xf numFmtId="0" fontId="18" fillId="9" borderId="14" xfId="39" applyFont="1" applyFill="1" applyBorder="1" applyAlignment="1">
      <alignment horizontal="center" vertical="center" wrapText="1"/>
    </xf>
    <xf numFmtId="0" fontId="18" fillId="10" borderId="14" xfId="39" applyFont="1" applyFill="1" applyBorder="1" applyAlignment="1" applyProtection="1">
      <alignment horizontal="left" vertical="center" wrapText="1"/>
      <protection locked="0"/>
    </xf>
    <xf numFmtId="49" fontId="18" fillId="10" borderId="14" xfId="39" applyNumberFormat="1" applyFont="1" applyFill="1" applyBorder="1" applyAlignment="1" applyProtection="1">
      <alignment horizontal="left" vertical="center" wrapText="1"/>
      <protection locked="0"/>
    </xf>
    <xf numFmtId="0" fontId="19" fillId="0" borderId="0" xfId="0" applyFont="1">
      <alignment vertical="center"/>
    </xf>
    <xf numFmtId="0" fontId="14" fillId="6" borderId="1" xfId="0" applyFont="1" applyFill="1" applyBorder="1" applyAlignment="1">
      <alignment horizontal="left" vertical="center"/>
    </xf>
    <xf numFmtId="0" fontId="19" fillId="2" borderId="1" xfId="0" applyFont="1" applyFill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Fill="1" applyBorder="1" applyAlignment="1" applyProtection="1">
      <alignment horizontal="center" vertical="center"/>
      <protection locked="0"/>
    </xf>
    <xf numFmtId="58" fontId="19" fillId="0" borderId="2" xfId="0" applyNumberFormat="1" applyFont="1" applyFill="1" applyBorder="1" applyAlignment="1" applyProtection="1">
      <alignment horizontal="center" vertical="center"/>
      <protection locked="0"/>
    </xf>
    <xf numFmtId="10" fontId="19" fillId="0" borderId="2" xfId="0" applyNumberFormat="1" applyFont="1" applyFill="1" applyBorder="1" applyAlignment="1" applyProtection="1">
      <alignment horizontal="center" vertical="center"/>
      <protection locked="0"/>
    </xf>
    <xf numFmtId="0" fontId="19" fillId="2" borderId="15" xfId="0" applyFont="1" applyFill="1" applyBorder="1" applyAlignment="1">
      <alignment horizontal="center" vertical="center" wrapText="1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58" fontId="19" fillId="0" borderId="1" xfId="0" applyNumberFormat="1" applyFont="1" applyBorder="1" applyAlignment="1" applyProtection="1">
      <alignment horizontal="center" vertical="center"/>
      <protection locked="0"/>
    </xf>
    <xf numFmtId="0" fontId="19" fillId="2" borderId="4" xfId="0" applyFont="1" applyFill="1" applyBorder="1" applyAlignment="1">
      <alignment horizontal="center" vertical="center" wrapText="1"/>
    </xf>
    <xf numFmtId="0" fontId="19" fillId="0" borderId="2" xfId="0" applyFont="1" applyBorder="1" applyAlignment="1" applyProtection="1">
      <alignment horizontal="center" vertical="center"/>
      <protection locked="0"/>
    </xf>
    <xf numFmtId="0" fontId="19" fillId="0" borderId="4" xfId="0" applyFont="1" applyBorder="1" applyAlignment="1" applyProtection="1">
      <alignment horizontal="center" vertical="center"/>
      <protection locked="0"/>
    </xf>
    <xf numFmtId="10" fontId="19" fillId="0" borderId="1" xfId="0" applyNumberFormat="1" applyFont="1" applyBorder="1" applyAlignment="1" applyProtection="1">
      <alignment horizontal="center" vertical="center"/>
      <protection locked="0"/>
    </xf>
    <xf numFmtId="10" fontId="19" fillId="0" borderId="2" xfId="0" applyNumberFormat="1" applyFont="1" applyBorder="1" applyAlignment="1" applyProtection="1">
      <alignment horizontal="center" vertical="center"/>
      <protection locked="0"/>
    </xf>
    <xf numFmtId="10" fontId="19" fillId="0" borderId="4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80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Fill="1" applyProtection="1">
      <alignment vertical="center"/>
      <protection hidden="1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6" xfId="39" applyFont="1" applyFill="1" applyBorder="1" applyAlignment="1">
      <alignment horizontal="left" vertical="center"/>
    </xf>
    <xf numFmtId="0" fontId="21" fillId="2" borderId="17" xfId="39" applyFont="1" applyFill="1" applyBorder="1" applyAlignment="1">
      <alignment horizontal="left" vertical="center"/>
    </xf>
    <xf numFmtId="0" fontId="22" fillId="6" borderId="18" xfId="39" applyFont="1" applyFill="1" applyBorder="1" applyAlignment="1">
      <alignment horizontal="center" vertical="center"/>
    </xf>
    <xf numFmtId="0" fontId="23" fillId="6" borderId="19" xfId="39" applyFont="1" applyFill="1" applyBorder="1" applyAlignment="1">
      <alignment horizontal="center" vertical="center"/>
    </xf>
    <xf numFmtId="0" fontId="23" fillId="0" borderId="20" xfId="39" applyFont="1" applyFill="1" applyBorder="1" applyAlignment="1">
      <alignment horizontal="center" vertical="center" wrapText="1"/>
    </xf>
    <xf numFmtId="58" fontId="23" fillId="0" borderId="0" xfId="39" applyNumberFormat="1" applyFont="1" applyFill="1" applyBorder="1" applyAlignment="1" applyProtection="1">
      <alignment horizontal="center" vertical="center" wrapText="1"/>
      <protection locked="0"/>
    </xf>
    <xf numFmtId="58" fontId="23" fillId="0" borderId="21" xfId="39" applyNumberFormat="1" applyFont="1" applyFill="1" applyBorder="1" applyAlignment="1" applyProtection="1">
      <alignment horizontal="center" vertical="center" wrapText="1"/>
      <protection locked="0"/>
    </xf>
    <xf numFmtId="58" fontId="23" fillId="0" borderId="22" xfId="39" applyNumberFormat="1" applyFont="1" applyFill="1" applyBorder="1" applyAlignment="1" applyProtection="1">
      <alignment horizontal="center" vertical="center" wrapText="1"/>
      <protection locked="0"/>
    </xf>
    <xf numFmtId="0" fontId="23" fillId="0" borderId="1" xfId="39" applyFont="1" applyFill="1" applyBorder="1" applyAlignment="1">
      <alignment horizontal="center" vertical="center" wrapText="1"/>
    </xf>
    <xf numFmtId="178" fontId="23" fillId="0" borderId="1" xfId="39" applyNumberFormat="1" applyFont="1" applyFill="1" applyBorder="1" applyAlignment="1" applyProtection="1">
      <alignment horizontal="center" vertical="center" wrapText="1"/>
      <protection locked="0"/>
    </xf>
    <xf numFmtId="178" fontId="23" fillId="11" borderId="1" xfId="39" applyNumberFormat="1" applyFont="1" applyFill="1" applyBorder="1" applyAlignment="1" applyProtection="1">
      <alignment horizontal="center" vertical="center" wrapText="1"/>
    </xf>
    <xf numFmtId="0" fontId="21" fillId="0" borderId="17" xfId="39" applyFont="1" applyFill="1" applyBorder="1" applyAlignment="1">
      <alignment horizontal="left" vertical="center"/>
    </xf>
    <xf numFmtId="0" fontId="23" fillId="0" borderId="14" xfId="39" applyFont="1" applyFill="1" applyBorder="1" applyAlignment="1">
      <alignment horizontal="center" vertical="center" wrapText="1"/>
    </xf>
    <xf numFmtId="49" fontId="23" fillId="0" borderId="1" xfId="39" applyNumberFormat="1" applyFont="1" applyFill="1" applyBorder="1" applyAlignment="1" applyProtection="1">
      <alignment horizontal="center" vertical="center" wrapText="1"/>
    </xf>
    <xf numFmtId="10" fontId="23" fillId="0" borderId="1" xfId="39" applyNumberFormat="1" applyFont="1" applyFill="1" applyBorder="1" applyAlignment="1" applyProtection="1">
      <alignment horizontal="center" vertical="center" wrapText="1"/>
      <protection locked="0"/>
    </xf>
    <xf numFmtId="0" fontId="14" fillId="2" borderId="23" xfId="39" applyFont="1" applyFill="1" applyBorder="1" applyAlignment="1">
      <alignment horizontal="left" vertical="center"/>
    </xf>
    <xf numFmtId="0" fontId="21" fillId="2" borderId="24" xfId="39" applyFont="1" applyFill="1" applyBorder="1" applyAlignment="1">
      <alignment horizontal="left" vertical="center"/>
    </xf>
    <xf numFmtId="0" fontId="21" fillId="0" borderId="24" xfId="39" applyFont="1" applyFill="1" applyBorder="1" applyAlignment="1">
      <alignment horizontal="left" vertical="center"/>
    </xf>
    <xf numFmtId="178" fontId="23" fillId="0" borderId="1" xfId="39" applyNumberFormat="1" applyFont="1" applyFill="1" applyBorder="1" applyAlignment="1" applyProtection="1">
      <alignment horizontal="center" vertical="center" wrapText="1"/>
    </xf>
    <xf numFmtId="10" fontId="23" fillId="11" borderId="1" xfId="39" applyNumberFormat="1" applyFont="1" applyFill="1" applyBorder="1" applyAlignment="1" applyProtection="1">
      <alignment horizontal="center" vertical="center" wrapText="1"/>
    </xf>
    <xf numFmtId="0" fontId="23" fillId="0" borderId="14" xfId="39" applyFont="1" applyFill="1" applyBorder="1" applyAlignment="1">
      <alignment horizontal="center" vertical="top" wrapText="1"/>
    </xf>
    <xf numFmtId="179" fontId="23" fillId="0" borderId="14" xfId="39" applyNumberFormat="1" applyFont="1" applyFill="1" applyBorder="1" applyAlignment="1">
      <alignment horizontal="center" vertical="top" wrapText="1"/>
    </xf>
    <xf numFmtId="0" fontId="23" fillId="6" borderId="18" xfId="39" applyFont="1" applyFill="1" applyBorder="1" applyAlignment="1">
      <alignment horizontal="center" vertical="center"/>
    </xf>
    <xf numFmtId="49" fontId="23" fillId="0" borderId="0" xfId="39" applyNumberFormat="1" applyFont="1" applyFill="1" applyBorder="1" applyAlignment="1" applyProtection="1">
      <alignment horizontal="center" vertical="center" wrapText="1"/>
    </xf>
    <xf numFmtId="177" fontId="23" fillId="0" borderId="1" xfId="39" applyNumberFormat="1" applyFont="1" applyFill="1" applyBorder="1" applyAlignment="1" applyProtection="1">
      <alignment horizontal="center" vertical="center" wrapText="1"/>
      <protection locked="0"/>
    </xf>
    <xf numFmtId="177" fontId="23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21" fillId="2" borderId="25" xfId="39" applyFont="1" applyFill="1" applyBorder="1" applyAlignment="1">
      <alignment horizontal="left" vertical="center"/>
    </xf>
    <xf numFmtId="0" fontId="21" fillId="0" borderId="25" xfId="39" applyFont="1" applyFill="1" applyBorder="1" applyAlignment="1">
      <alignment horizontal="left" vertical="center"/>
    </xf>
    <xf numFmtId="0" fontId="21" fillId="0" borderId="26" xfId="39" applyFont="1" applyFill="1" applyBorder="1" applyAlignment="1">
      <alignment horizontal="left" vertical="center"/>
    </xf>
    <xf numFmtId="0" fontId="24" fillId="6" borderId="27" xfId="39" applyFont="1" applyFill="1" applyBorder="1" applyAlignment="1">
      <alignment horizontal="left" vertical="center"/>
    </xf>
    <xf numFmtId="0" fontId="25" fillId="6" borderId="28" xfId="39" applyFont="1" applyFill="1" applyBorder="1" applyAlignment="1">
      <alignment horizontal="center" vertical="center"/>
    </xf>
    <xf numFmtId="0" fontId="23" fillId="2" borderId="1" xfId="39" applyFont="1" applyFill="1" applyBorder="1" applyAlignment="1">
      <alignment horizontal="center" vertical="center"/>
    </xf>
    <xf numFmtId="49" fontId="26" fillId="0" borderId="2" xfId="39" applyNumberFormat="1" applyFont="1" applyFill="1" applyBorder="1" applyAlignment="1" applyProtection="1">
      <alignment horizontal="left" vertical="center"/>
      <protection locked="0"/>
    </xf>
    <xf numFmtId="49" fontId="26" fillId="0" borderId="3" xfId="39" applyNumberFormat="1" applyFont="1" applyFill="1" applyBorder="1" applyAlignment="1" applyProtection="1">
      <alignment horizontal="left" vertical="center"/>
      <protection locked="0"/>
    </xf>
    <xf numFmtId="49" fontId="26" fillId="0" borderId="4" xfId="39" applyNumberFormat="1" applyFont="1" applyFill="1" applyBorder="1" applyAlignment="1" applyProtection="1">
      <alignment horizontal="left" vertical="center"/>
      <protection locked="0"/>
    </xf>
    <xf numFmtId="49" fontId="25" fillId="0" borderId="0" xfId="39" applyNumberFormat="1" applyFont="1" applyFill="1" applyBorder="1" applyAlignment="1" applyProtection="1">
      <alignment horizontal="left" vertical="center"/>
      <protection locked="0"/>
    </xf>
    <xf numFmtId="49" fontId="25" fillId="0" borderId="15" xfId="39" applyNumberFormat="1" applyFont="1" applyFill="1" applyBorder="1" applyAlignment="1" applyProtection="1">
      <alignment horizontal="left" vertical="center"/>
      <protection locked="0"/>
    </xf>
    <xf numFmtId="49" fontId="25" fillId="0" borderId="1" xfId="39" applyNumberFormat="1" applyFont="1" applyFill="1" applyBorder="1" applyAlignment="1" applyProtection="1">
      <alignment horizontal="center" vertical="center"/>
      <protection locked="0"/>
    </xf>
    <xf numFmtId="0" fontId="24" fillId="6" borderId="0" xfId="39" applyFont="1" applyFill="1" applyBorder="1" applyAlignment="1">
      <alignment horizontal="left" vertical="center"/>
    </xf>
    <xf numFmtId="0" fontId="25" fillId="6" borderId="0" xfId="39" applyFont="1" applyFill="1" applyBorder="1" applyAlignment="1">
      <alignment horizontal="center" vertical="center"/>
    </xf>
    <xf numFmtId="0" fontId="25" fillId="6" borderId="17" xfId="39" applyFont="1" applyFill="1" applyBorder="1" applyAlignment="1">
      <alignment horizontal="center" vertical="center"/>
    </xf>
    <xf numFmtId="0" fontId="23" fillId="2" borderId="3" xfId="39" applyFont="1" applyFill="1" applyBorder="1" applyAlignment="1">
      <alignment horizontal="center" vertical="center"/>
    </xf>
    <xf numFmtId="49" fontId="25" fillId="0" borderId="2" xfId="39" applyNumberFormat="1" applyFont="1" applyFill="1" applyBorder="1" applyAlignment="1" applyProtection="1">
      <alignment horizontal="left" vertical="center"/>
      <protection locked="0"/>
    </xf>
    <xf numFmtId="49" fontId="25" fillId="0" borderId="3" xfId="39" applyNumberFormat="1" applyFont="1" applyFill="1" applyBorder="1" applyAlignment="1" applyProtection="1">
      <alignment horizontal="left" vertical="center"/>
      <protection locked="0"/>
    </xf>
    <xf numFmtId="49" fontId="25" fillId="0" borderId="4" xfId="39" applyNumberFormat="1" applyFont="1" applyFill="1" applyBorder="1" applyAlignment="1" applyProtection="1">
      <alignment horizontal="left" vertical="center"/>
      <protection locked="0"/>
    </xf>
    <xf numFmtId="0" fontId="26" fillId="2" borderId="1" xfId="39" applyFont="1" applyFill="1" applyBorder="1" applyAlignment="1">
      <alignment horizontal="center" vertical="center"/>
    </xf>
    <xf numFmtId="49" fontId="25" fillId="0" borderId="1" xfId="39" applyNumberFormat="1" applyFont="1" applyFill="1" applyBorder="1" applyAlignment="1" applyProtection="1">
      <alignment horizontal="center" vertical="center" wrapText="1"/>
      <protection locked="0"/>
    </xf>
    <xf numFmtId="0" fontId="26" fillId="2" borderId="0" xfId="39" applyFont="1" applyFill="1" applyBorder="1" applyAlignment="1">
      <alignment horizontal="center" vertical="center"/>
    </xf>
    <xf numFmtId="0" fontId="25" fillId="6" borderId="3" xfId="39" applyFont="1" applyFill="1" applyBorder="1" applyAlignment="1">
      <alignment horizontal="left" vertical="center"/>
    </xf>
    <xf numFmtId="49" fontId="25" fillId="0" borderId="1" xfId="5" applyNumberFormat="1" applyFont="1" applyFill="1" applyBorder="1" applyAlignment="1" applyProtection="1">
      <alignment horizontal="center" vertical="center"/>
      <protection locked="0"/>
    </xf>
    <xf numFmtId="0" fontId="24" fillId="6" borderId="2" xfId="39" applyFont="1" applyFill="1" applyBorder="1" applyAlignment="1">
      <alignment horizontal="left" vertical="center"/>
    </xf>
    <xf numFmtId="0" fontId="24" fillId="6" borderId="3" xfId="39" applyFont="1" applyFill="1" applyBorder="1" applyAlignment="1">
      <alignment horizontal="left" vertical="center"/>
    </xf>
    <xf numFmtId="0" fontId="26" fillId="2" borderId="15" xfId="39" applyFont="1" applyFill="1" applyBorder="1" applyAlignment="1">
      <alignment horizontal="center" vertical="center"/>
    </xf>
    <xf numFmtId="49" fontId="25" fillId="0" borderId="1" xfId="33" applyNumberFormat="1" applyFont="1" applyFill="1" applyBorder="1" applyAlignment="1" applyProtection="1">
      <alignment horizontal="center" vertical="center"/>
      <protection locked="0"/>
    </xf>
    <xf numFmtId="0" fontId="26" fillId="2" borderId="2" xfId="39" applyFont="1" applyFill="1" applyBorder="1" applyAlignment="1">
      <alignment horizontal="center" vertical="center"/>
    </xf>
    <xf numFmtId="49" fontId="25" fillId="0" borderId="29" xfId="39" applyNumberFormat="1" applyFont="1" applyFill="1" applyBorder="1" applyAlignment="1" applyProtection="1">
      <alignment horizontal="center" vertical="center"/>
      <protection locked="0"/>
    </xf>
    <xf numFmtId="49" fontId="25" fillId="0" borderId="29" xfId="33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27" fillId="6" borderId="28" xfId="39" applyFont="1" applyFill="1" applyBorder="1">
      <alignment vertical="center"/>
    </xf>
    <xf numFmtId="0" fontId="27" fillId="6" borderId="30" xfId="39" applyFont="1" applyFill="1" applyBorder="1">
      <alignment vertical="center"/>
    </xf>
    <xf numFmtId="49" fontId="5" fillId="0" borderId="2" xfId="39" applyNumberFormat="1" applyFont="1" applyFill="1" applyBorder="1" applyAlignment="1" applyProtection="1">
      <alignment horizontal="left" vertical="center"/>
      <protection locked="0"/>
    </xf>
    <xf numFmtId="49" fontId="5" fillId="0" borderId="4" xfId="39" applyNumberFormat="1" applyFont="1" applyFill="1" applyBorder="1" applyAlignment="1" applyProtection="1">
      <alignment horizontal="left" vertical="center"/>
      <protection locked="0"/>
    </xf>
    <xf numFmtId="0" fontId="27" fillId="6" borderId="17" xfId="39" applyFont="1" applyFill="1" applyBorder="1">
      <alignment vertical="center"/>
    </xf>
    <xf numFmtId="0" fontId="27" fillId="6" borderId="31" xfId="39" applyFont="1" applyFill="1" applyBorder="1">
      <alignment vertical="center"/>
    </xf>
    <xf numFmtId="49" fontId="25" fillId="10" borderId="2" xfId="39" applyNumberFormat="1" applyFont="1" applyFill="1" applyBorder="1" applyAlignment="1" applyProtection="1">
      <alignment horizontal="left" vertical="center"/>
      <protection locked="0"/>
    </xf>
    <xf numFmtId="49" fontId="25" fillId="10" borderId="4" xfId="39" applyNumberFormat="1" applyFont="1" applyFill="1" applyBorder="1" applyAlignment="1" applyProtection="1">
      <alignment horizontal="left" vertical="center"/>
      <protection locked="0"/>
    </xf>
    <xf numFmtId="0" fontId="23" fillId="9" borderId="1" xfId="39" applyFont="1" applyFill="1" applyBorder="1" applyAlignment="1">
      <alignment horizontal="center" vertical="center"/>
    </xf>
    <xf numFmtId="49" fontId="28" fillId="0" borderId="1" xfId="87" applyNumberFormat="1" applyFill="1" applyBorder="1" applyAlignment="1" applyProtection="1">
      <alignment horizontal="center" vertical="center"/>
      <protection locked="0"/>
    </xf>
    <xf numFmtId="0" fontId="27" fillId="6" borderId="0" xfId="39" applyFont="1" applyFill="1" applyBorder="1" applyAlignment="1">
      <alignment horizontal="left" vertical="center"/>
    </xf>
    <xf numFmtId="0" fontId="27" fillId="6" borderId="12" xfId="39" applyFont="1" applyFill="1" applyBorder="1" applyAlignment="1">
      <alignment horizontal="left" vertical="center"/>
    </xf>
    <xf numFmtId="0" fontId="24" fillId="6" borderId="4" xfId="39" applyFont="1" applyFill="1" applyBorder="1" applyAlignment="1">
      <alignment horizontal="left" vertical="center"/>
    </xf>
    <xf numFmtId="49" fontId="25" fillId="0" borderId="4" xfId="5" applyNumberFormat="1" applyFont="1" applyFill="1" applyBorder="1" applyAlignment="1" applyProtection="1">
      <alignment horizontal="center" vertical="center"/>
      <protection locked="0"/>
    </xf>
    <xf numFmtId="49" fontId="25" fillId="0" borderId="1" xfId="4" applyNumberFormat="1" applyFont="1" applyFill="1" applyBorder="1" applyAlignment="1" applyProtection="1">
      <alignment horizontal="center" vertical="center"/>
      <protection locked="0"/>
    </xf>
    <xf numFmtId="0" fontId="29" fillId="6" borderId="32" xfId="24" applyFont="1" applyFill="1" applyBorder="1">
      <alignment vertical="center"/>
    </xf>
    <xf numFmtId="0" fontId="23" fillId="9" borderId="32" xfId="24" applyFont="1" applyFill="1" applyBorder="1" applyAlignment="1">
      <alignment horizontal="center" vertical="center"/>
    </xf>
    <xf numFmtId="49" fontId="23" fillId="0" borderId="33" xfId="24" applyNumberFormat="1" applyFont="1" applyFill="1" applyBorder="1" applyAlignment="1" applyProtection="1">
      <alignment horizontal="center" vertical="center"/>
      <protection locked="0"/>
    </xf>
    <xf numFmtId="49" fontId="23" fillId="0" borderId="34" xfId="24" applyNumberFormat="1" applyFont="1" applyFill="1" applyBorder="1" applyAlignment="1" applyProtection="1">
      <alignment horizontal="center" vertical="center"/>
      <protection locked="0"/>
    </xf>
    <xf numFmtId="0" fontId="23" fillId="9" borderId="33" xfId="24" applyFont="1" applyFill="1" applyBorder="1" applyAlignment="1">
      <alignment horizontal="center" vertical="center"/>
    </xf>
    <xf numFmtId="0" fontId="23" fillId="0" borderId="33" xfId="24" applyFont="1" applyFill="1" applyBorder="1" applyAlignment="1" applyProtection="1">
      <alignment horizontal="center" vertical="center"/>
      <protection locked="0"/>
    </xf>
    <xf numFmtId="0" fontId="23" fillId="12" borderId="34" xfId="24" applyFont="1" applyFill="1" applyBorder="1" applyAlignment="1" applyProtection="1">
      <alignment horizontal="center" vertical="center"/>
      <protection locked="0"/>
    </xf>
    <xf numFmtId="0" fontId="23" fillId="0" borderId="34" xfId="24" applyFont="1" applyFill="1" applyBorder="1" applyAlignment="1" applyProtection="1">
      <alignment horizontal="center" vertical="center"/>
      <protection locked="0"/>
    </xf>
    <xf numFmtId="0" fontId="23" fillId="0" borderId="35" xfId="24" applyFont="1" applyFill="1" applyBorder="1" applyAlignment="1" applyProtection="1">
      <alignment horizontal="center" vertical="center"/>
      <protection locked="0"/>
    </xf>
    <xf numFmtId="0" fontId="23" fillId="0" borderId="0" xfId="24" applyFont="1" applyFill="1" applyBorder="1" applyAlignment="1" applyProtection="1">
      <alignment horizontal="center" vertical="center"/>
      <protection locked="0"/>
    </xf>
    <xf numFmtId="58" fontId="23" fillId="0" borderId="2" xfId="24" applyNumberFormat="1" applyFont="1" applyFill="1" applyBorder="1" applyAlignment="1" applyProtection="1">
      <alignment horizontal="center" vertical="center"/>
      <protection locked="0"/>
    </xf>
    <xf numFmtId="58" fontId="23" fillId="0" borderId="4" xfId="24" applyNumberFormat="1" applyFont="1" applyFill="1" applyBorder="1" applyAlignment="1" applyProtection="1">
      <alignment horizontal="center" vertical="center"/>
      <protection locked="0"/>
    </xf>
    <xf numFmtId="0" fontId="23" fillId="0" borderId="36" xfId="24" applyFont="1" applyFill="1" applyBorder="1" applyAlignment="1" applyProtection="1">
      <alignment horizontal="center" vertical="center"/>
      <protection locked="0"/>
    </xf>
    <xf numFmtId="0" fontId="23" fillId="0" borderId="37" xfId="24" applyFont="1" applyFill="1" applyBorder="1" applyAlignment="1" applyProtection="1">
      <alignment horizontal="center" vertical="center"/>
      <protection locked="0"/>
    </xf>
    <xf numFmtId="0" fontId="23" fillId="9" borderId="38" xfId="24" applyFont="1" applyFill="1" applyBorder="1" applyAlignment="1">
      <alignment horizontal="center" vertical="center"/>
    </xf>
    <xf numFmtId="0" fontId="23" fillId="0" borderId="2" xfId="24" applyFont="1" applyFill="1" applyBorder="1" applyAlignment="1" applyProtection="1">
      <alignment horizontal="center" vertical="center"/>
      <protection locked="0"/>
    </xf>
    <xf numFmtId="0" fontId="23" fillId="0" borderId="3" xfId="24" applyFont="1" applyFill="1" applyBorder="1" applyAlignment="1" applyProtection="1">
      <alignment horizontal="center" vertical="center"/>
      <protection locked="0"/>
    </xf>
    <xf numFmtId="0" fontId="23" fillId="9" borderId="1" xfId="24" applyFont="1" applyFill="1" applyBorder="1" applyAlignment="1">
      <alignment horizontal="center" vertical="center"/>
    </xf>
    <xf numFmtId="0" fontId="23" fillId="0" borderId="39" xfId="24" applyFont="1" applyFill="1" applyBorder="1" applyAlignment="1" applyProtection="1">
      <alignment horizontal="center" vertical="center"/>
      <protection locked="0"/>
    </xf>
    <xf numFmtId="0" fontId="23" fillId="0" borderId="40" xfId="24" applyFont="1" applyFill="1" applyBorder="1" applyAlignment="1" applyProtection="1">
      <alignment horizontal="center" vertical="center"/>
      <protection locked="0"/>
    </xf>
    <xf numFmtId="0" fontId="23" fillId="9" borderId="39" xfId="24" applyFont="1" applyFill="1" applyBorder="1" applyAlignment="1">
      <alignment horizontal="center" vertical="center"/>
    </xf>
    <xf numFmtId="0" fontId="23" fillId="0" borderId="41" xfId="24" applyFont="1" applyFill="1" applyBorder="1" applyAlignment="1" applyProtection="1">
      <alignment horizontal="center" vertical="center"/>
      <protection locked="0"/>
    </xf>
    <xf numFmtId="58" fontId="23" fillId="0" borderId="33" xfId="24" applyNumberFormat="1" applyFont="1" applyFill="1" applyBorder="1" applyAlignment="1" applyProtection="1">
      <alignment horizontal="center" vertical="center"/>
      <protection locked="0"/>
    </xf>
    <xf numFmtId="58" fontId="23" fillId="0" borderId="34" xfId="24" applyNumberFormat="1" applyFont="1" applyFill="1" applyBorder="1" applyAlignment="1" applyProtection="1">
      <alignment horizontal="center" vertical="center"/>
      <protection locked="0"/>
    </xf>
    <xf numFmtId="180" fontId="23" fillId="0" borderId="2" xfId="24" applyNumberFormat="1" applyFont="1" applyFill="1" applyBorder="1" applyAlignment="1" applyProtection="1">
      <alignment horizontal="center" vertical="center"/>
      <protection locked="0"/>
    </xf>
    <xf numFmtId="180" fontId="23" fillId="0" borderId="4" xfId="24" applyNumberFormat="1" applyFont="1" applyFill="1" applyBorder="1" applyAlignment="1" applyProtection="1">
      <alignment horizontal="center" vertical="center"/>
      <protection locked="0"/>
    </xf>
    <xf numFmtId="10" fontId="23" fillId="11" borderId="6" xfId="24" applyNumberFormat="1" applyFont="1" applyFill="1" applyBorder="1" applyAlignment="1" applyProtection="1">
      <alignment horizontal="center" vertical="center"/>
    </xf>
    <xf numFmtId="10" fontId="23" fillId="11" borderId="42" xfId="24" applyNumberFormat="1" applyFont="1" applyFill="1" applyBorder="1" applyAlignment="1" applyProtection="1">
      <alignment horizontal="center" vertical="center"/>
    </xf>
    <xf numFmtId="180" fontId="23" fillId="0" borderId="33" xfId="24" applyNumberFormat="1" applyFont="1" applyFill="1" applyBorder="1" applyAlignment="1" applyProtection="1">
      <alignment horizontal="center" vertical="center"/>
      <protection locked="0"/>
    </xf>
    <xf numFmtId="180" fontId="23" fillId="12" borderId="34" xfId="24" applyNumberFormat="1" applyFont="1" applyFill="1" applyBorder="1" applyAlignment="1" applyProtection="1">
      <alignment horizontal="center" vertical="center"/>
      <protection locked="0"/>
    </xf>
    <xf numFmtId="180" fontId="23" fillId="0" borderId="41" xfId="24" applyNumberFormat="1" applyFont="1" applyFill="1" applyBorder="1" applyAlignment="1" applyProtection="1">
      <alignment horizontal="center" vertical="center"/>
      <protection locked="0"/>
    </xf>
    <xf numFmtId="180" fontId="26" fillId="0" borderId="2" xfId="24" applyNumberFormat="1" applyFont="1" applyFill="1" applyBorder="1" applyAlignment="1" applyProtection="1">
      <alignment horizontal="center" vertical="center"/>
      <protection locked="0"/>
    </xf>
    <xf numFmtId="180" fontId="26" fillId="0" borderId="4" xfId="24" applyNumberFormat="1" applyFont="1" applyFill="1" applyBorder="1" applyAlignment="1" applyProtection="1">
      <alignment horizontal="center" vertical="center"/>
      <protection locked="0"/>
    </xf>
    <xf numFmtId="180" fontId="26" fillId="0" borderId="43" xfId="24" applyNumberFormat="1" applyFont="1" applyFill="1" applyBorder="1" applyAlignment="1" applyProtection="1">
      <alignment horizontal="center" vertical="center"/>
      <protection locked="0"/>
    </xf>
    <xf numFmtId="180" fontId="26" fillId="0" borderId="44" xfId="24" applyNumberFormat="1" applyFont="1" applyFill="1" applyBorder="1" applyAlignment="1" applyProtection="1">
      <alignment horizontal="center" vertical="center"/>
      <protection locked="0"/>
    </xf>
    <xf numFmtId="0" fontId="26" fillId="9" borderId="32" xfId="24" applyFont="1" applyFill="1" applyBorder="1" applyAlignment="1">
      <alignment horizontal="center" vertical="center" wrapText="1"/>
    </xf>
    <xf numFmtId="0" fontId="26" fillId="9" borderId="32" xfId="24" applyFont="1" applyFill="1" applyBorder="1" applyAlignment="1">
      <alignment horizontal="center" vertical="center"/>
    </xf>
    <xf numFmtId="180" fontId="23" fillId="10" borderId="33" xfId="24" applyNumberFormat="1" applyFont="1" applyFill="1" applyBorder="1" applyAlignment="1" applyProtection="1">
      <alignment horizontal="center" vertical="center"/>
      <protection locked="0"/>
    </xf>
    <xf numFmtId="180" fontId="26" fillId="0" borderId="33" xfId="24" applyNumberFormat="1" applyFont="1" applyFill="1" applyBorder="1" applyAlignment="1" applyProtection="1">
      <alignment horizontal="center" vertical="center" wrapText="1"/>
      <protection locked="0"/>
    </xf>
    <xf numFmtId="176" fontId="26" fillId="10" borderId="33" xfId="24" applyNumberFormat="1" applyFont="1" applyFill="1" applyBorder="1" applyAlignment="1" applyProtection="1">
      <alignment horizontal="center" vertical="center" wrapText="1"/>
      <protection locked="0"/>
    </xf>
    <xf numFmtId="180" fontId="26" fillId="11" borderId="2" xfId="24" applyNumberFormat="1" applyFont="1" applyFill="1" applyBorder="1" applyAlignment="1">
      <alignment horizontal="center" vertical="center"/>
    </xf>
    <xf numFmtId="0" fontId="23" fillId="9" borderId="32" xfId="24" applyFont="1" applyFill="1" applyBorder="1" applyAlignment="1">
      <alignment horizontal="left" vertical="center" wrapText="1"/>
    </xf>
    <xf numFmtId="0" fontId="23" fillId="9" borderId="32" xfId="24" applyFont="1" applyFill="1" applyBorder="1" applyAlignment="1">
      <alignment horizontal="center" vertical="center" wrapText="1"/>
    </xf>
    <xf numFmtId="49" fontId="23" fillId="10" borderId="32" xfId="24" applyNumberFormat="1" applyFont="1" applyFill="1" applyBorder="1" applyAlignment="1" applyProtection="1">
      <alignment horizontal="center" vertical="center" wrapText="1"/>
      <protection locked="0"/>
    </xf>
    <xf numFmtId="10" fontId="26" fillId="10" borderId="32" xfId="24" applyNumberFormat="1" applyFont="1" applyFill="1" applyBorder="1" applyAlignment="1" applyProtection="1">
      <alignment horizontal="center" vertical="center" wrapText="1"/>
      <protection locked="0"/>
    </xf>
    <xf numFmtId="10" fontId="26" fillId="10" borderId="32" xfId="24" applyNumberFormat="1" applyFont="1" applyFill="1" applyBorder="1" applyAlignment="1" applyProtection="1">
      <alignment horizontal="center" vertical="center"/>
      <protection locked="0"/>
    </xf>
    <xf numFmtId="10" fontId="23" fillId="10" borderId="32" xfId="24" applyNumberFormat="1" applyFont="1" applyFill="1" applyBorder="1" applyAlignment="1" applyProtection="1">
      <alignment horizontal="center" vertical="center" wrapText="1"/>
      <protection locked="0"/>
    </xf>
    <xf numFmtId="49" fontId="23" fillId="10" borderId="32" xfId="24" applyNumberFormat="1" applyFont="1" applyFill="1" applyBorder="1" applyAlignment="1" applyProtection="1">
      <alignment horizontal="center" vertical="center"/>
      <protection locked="0"/>
    </xf>
    <xf numFmtId="0" fontId="29" fillId="6" borderId="38" xfId="24" applyFont="1" applyFill="1" applyBorder="1">
      <alignment vertical="center"/>
    </xf>
    <xf numFmtId="49" fontId="23" fillId="0" borderId="1" xfId="24" applyNumberFormat="1" applyFont="1" applyFill="1" applyBorder="1" applyAlignment="1" applyProtection="1">
      <alignment horizontal="center" vertical="center"/>
      <protection locked="0"/>
    </xf>
    <xf numFmtId="0" fontId="23" fillId="0" borderId="1" xfId="24" applyFont="1" applyFill="1" applyBorder="1" applyAlignment="1" applyProtection="1">
      <alignment horizontal="center" vertical="center"/>
      <protection locked="0"/>
    </xf>
    <xf numFmtId="0" fontId="23" fillId="0" borderId="12" xfId="24" applyFont="1" applyFill="1" applyBorder="1" applyAlignment="1" applyProtection="1">
      <alignment horizontal="center" vertical="center"/>
      <protection locked="0"/>
    </xf>
    <xf numFmtId="58" fontId="23" fillId="0" borderId="1" xfId="24" applyNumberFormat="1" applyFont="1" applyFill="1" applyBorder="1" applyAlignment="1" applyProtection="1">
      <alignment horizontal="center" vertical="center"/>
      <protection locked="0"/>
    </xf>
    <xf numFmtId="0" fontId="23" fillId="0" borderId="29" xfId="24" applyFont="1" applyFill="1" applyBorder="1" applyAlignment="1" applyProtection="1">
      <alignment horizontal="center" vertical="center"/>
      <protection locked="0"/>
    </xf>
    <xf numFmtId="0" fontId="23" fillId="0" borderId="4" xfId="24" applyFont="1" applyFill="1" applyBorder="1" applyAlignment="1" applyProtection="1">
      <alignment vertical="center"/>
      <protection locked="0"/>
    </xf>
    <xf numFmtId="0" fontId="23" fillId="0" borderId="15" xfId="24" applyFont="1" applyFill="1" applyBorder="1" applyAlignment="1" applyProtection="1">
      <alignment horizontal="center" vertical="center"/>
      <protection locked="0"/>
    </xf>
    <xf numFmtId="10" fontId="23" fillId="0" borderId="1" xfId="24" applyNumberFormat="1" applyFont="1" applyFill="1" applyBorder="1" applyAlignment="1" applyProtection="1">
      <alignment horizontal="center" vertical="center"/>
      <protection locked="0"/>
    </xf>
    <xf numFmtId="180" fontId="23" fillId="0" borderId="1" xfId="24" applyNumberFormat="1" applyFont="1" applyFill="1" applyBorder="1" applyAlignment="1" applyProtection="1">
      <alignment horizontal="center" vertical="center"/>
      <protection locked="0"/>
    </xf>
    <xf numFmtId="10" fontId="23" fillId="11" borderId="1" xfId="24" applyNumberFormat="1" applyFont="1" applyFill="1" applyBorder="1" applyAlignment="1" applyProtection="1">
      <alignment horizontal="center" vertical="center"/>
    </xf>
    <xf numFmtId="0" fontId="23" fillId="0" borderId="45" xfId="24" applyFont="1" applyFill="1" applyBorder="1" applyAlignment="1" applyProtection="1">
      <alignment horizontal="center" vertical="center"/>
      <protection locked="0"/>
    </xf>
    <xf numFmtId="0" fontId="29" fillId="6" borderId="46" xfId="24" applyFont="1" applyFill="1" applyBorder="1">
      <alignment vertical="center"/>
    </xf>
    <xf numFmtId="180" fontId="23" fillId="10" borderId="41" xfId="24" applyNumberFormat="1" applyFont="1" applyFill="1" applyBorder="1" applyAlignment="1" applyProtection="1">
      <alignment horizontal="center" vertical="center"/>
      <protection locked="0"/>
    </xf>
    <xf numFmtId="180" fontId="26" fillId="10" borderId="41" xfId="24" applyNumberFormat="1" applyFont="1" applyFill="1" applyBorder="1" applyAlignment="1" applyProtection="1">
      <alignment horizontal="center" vertical="center" wrapText="1"/>
      <protection locked="0"/>
    </xf>
    <xf numFmtId="176" fontId="26" fillId="10" borderId="41" xfId="24" applyNumberFormat="1" applyFont="1" applyFill="1" applyBorder="1" applyAlignment="1" applyProtection="1">
      <alignment horizontal="center" vertical="center" wrapText="1"/>
      <protection locked="0"/>
    </xf>
    <xf numFmtId="180" fontId="26" fillId="11" borderId="4" xfId="24" applyNumberFormat="1" applyFont="1" applyFill="1" applyBorder="1" applyAlignment="1">
      <alignment horizontal="center" vertical="center"/>
    </xf>
    <xf numFmtId="49" fontId="26" fillId="10" borderId="32" xfId="24" applyNumberFormat="1" applyFont="1" applyFill="1" applyBorder="1" applyAlignment="1" applyProtection="1">
      <alignment horizontal="center" vertical="center" wrapText="1"/>
      <protection locked="0"/>
    </xf>
    <xf numFmtId="0" fontId="2" fillId="2" borderId="1" xfId="74" applyFont="1" applyFill="1" applyBorder="1" applyAlignment="1">
      <alignment horizontal="center" vertical="center" wrapText="1"/>
    </xf>
    <xf numFmtId="0" fontId="21" fillId="10" borderId="1" xfId="74" applyFont="1" applyFill="1" applyBorder="1" applyAlignment="1">
      <alignment horizontal="justify" vertical="center" wrapText="1"/>
    </xf>
    <xf numFmtId="0" fontId="30" fillId="10" borderId="1" xfId="74" applyFont="1" applyFill="1" applyBorder="1" applyAlignment="1">
      <alignment horizontal="justify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2" fillId="2" borderId="1" xfId="74" applyFont="1" applyFill="1" applyBorder="1" applyAlignment="1">
      <alignment horizontal="center" vertical="center"/>
    </xf>
    <xf numFmtId="0" fontId="2" fillId="10" borderId="2" xfId="74" applyFont="1" applyFill="1" applyBorder="1" applyAlignment="1">
      <alignment horizontal="center" vertical="center"/>
    </xf>
    <xf numFmtId="0" fontId="2" fillId="10" borderId="3" xfId="74" applyFont="1" applyFill="1" applyBorder="1" applyAlignment="1">
      <alignment horizontal="center" vertical="center"/>
    </xf>
    <xf numFmtId="0" fontId="32" fillId="2" borderId="1" xfId="74" applyFont="1" applyFill="1" applyBorder="1" applyAlignment="1">
      <alignment horizontal="center" vertical="center" wrapText="1"/>
    </xf>
    <xf numFmtId="0" fontId="2" fillId="10" borderId="1" xfId="74" applyFont="1" applyFill="1" applyBorder="1" applyAlignment="1">
      <alignment horizontal="center" vertical="center"/>
    </xf>
    <xf numFmtId="0" fontId="32" fillId="10" borderId="1" xfId="74" applyFont="1" applyFill="1" applyBorder="1" applyAlignment="1">
      <alignment horizontal="left" vertical="center" wrapText="1"/>
    </xf>
    <xf numFmtId="0" fontId="32" fillId="10" borderId="1" xfId="74" applyFont="1" applyFill="1" applyBorder="1" applyAlignment="1">
      <alignment horizontal="center" vertical="center" wrapText="1"/>
    </xf>
    <xf numFmtId="0" fontId="32" fillId="10" borderId="1" xfId="74" applyFont="1" applyFill="1" applyBorder="1"/>
    <xf numFmtId="0" fontId="31" fillId="0" borderId="4" xfId="0" applyFont="1" applyBorder="1" applyAlignment="1">
      <alignment horizontal="center" vertical="center"/>
    </xf>
    <xf numFmtId="0" fontId="2" fillId="10" borderId="4" xfId="74" applyFont="1" applyFill="1" applyBorder="1" applyAlignment="1">
      <alignment horizontal="center" vertical="center"/>
    </xf>
    <xf numFmtId="0" fontId="3" fillId="0" borderId="0" xfId="18">
      <alignment vertical="center"/>
    </xf>
    <xf numFmtId="0" fontId="2" fillId="2" borderId="47" xfId="74" applyFont="1" applyFill="1" applyBorder="1" applyAlignment="1">
      <alignment horizontal="center" vertical="center" wrapText="1"/>
    </xf>
    <xf numFmtId="0" fontId="33" fillId="13" borderId="2" xfId="74" applyFont="1" applyFill="1" applyBorder="1" applyAlignment="1">
      <alignment horizontal="center" vertical="center"/>
    </xf>
    <xf numFmtId="0" fontId="33" fillId="13" borderId="4" xfId="74" applyFont="1" applyFill="1" applyBorder="1" applyAlignment="1">
      <alignment horizontal="center" vertical="center"/>
    </xf>
    <xf numFmtId="0" fontId="2" fillId="2" borderId="48" xfId="74" applyFont="1" applyFill="1" applyBorder="1" applyAlignment="1">
      <alignment horizontal="center" vertical="center" wrapText="1"/>
    </xf>
    <xf numFmtId="0" fontId="2" fillId="10" borderId="49" xfId="74" applyFont="1" applyFill="1" applyBorder="1" applyAlignment="1">
      <alignment horizontal="center" vertical="center" wrapText="1"/>
    </xf>
    <xf numFmtId="0" fontId="2" fillId="10" borderId="17" xfId="74" applyFont="1" applyFill="1" applyBorder="1" applyAlignment="1">
      <alignment horizontal="center" vertical="center" wrapText="1"/>
    </xf>
    <xf numFmtId="0" fontId="2" fillId="10" borderId="50" xfId="74" applyFont="1" applyFill="1" applyBorder="1" applyAlignment="1">
      <alignment horizontal="center" vertical="center" wrapText="1"/>
    </xf>
    <xf numFmtId="0" fontId="2" fillId="10" borderId="51" xfId="74" applyFont="1" applyFill="1" applyBorder="1" applyAlignment="1">
      <alignment horizontal="center" vertical="center" wrapText="1"/>
    </xf>
    <xf numFmtId="0" fontId="2" fillId="2" borderId="20" xfId="74" applyFont="1" applyFill="1" applyBorder="1" applyAlignment="1">
      <alignment horizontal="center" vertical="center" wrapText="1"/>
    </xf>
    <xf numFmtId="0" fontId="2" fillId="0" borderId="48" xfId="74" applyFont="1" applyFill="1" applyBorder="1" applyAlignment="1">
      <alignment horizontal="center" vertical="center" wrapText="1"/>
    </xf>
    <xf numFmtId="0" fontId="2" fillId="10" borderId="52" xfId="74" applyFont="1" applyFill="1" applyBorder="1" applyAlignment="1">
      <alignment horizontal="center" vertical="center" wrapText="1"/>
    </xf>
    <xf numFmtId="0" fontId="2" fillId="2" borderId="19" xfId="74" applyFont="1" applyFill="1" applyBorder="1" applyAlignment="1">
      <alignment horizontal="center" vertical="center" wrapText="1"/>
    </xf>
    <xf numFmtId="0" fontId="2" fillId="10" borderId="0" xfId="74" applyFont="1" applyFill="1" applyAlignment="1">
      <alignment vertical="center"/>
    </xf>
    <xf numFmtId="0" fontId="33" fillId="13" borderId="15" xfId="74" applyFont="1" applyFill="1" applyBorder="1" applyAlignment="1">
      <alignment horizontal="center" vertical="center" wrapText="1"/>
    </xf>
    <xf numFmtId="0" fontId="5" fillId="13" borderId="15" xfId="74" applyFont="1" applyFill="1" applyBorder="1" applyAlignment="1">
      <alignment horizontal="center" vertical="center" wrapText="1"/>
    </xf>
    <xf numFmtId="0" fontId="33" fillId="13" borderId="0" xfId="74" applyFont="1" applyFill="1" applyBorder="1" applyAlignment="1">
      <alignment horizontal="center" vertical="center" wrapText="1"/>
    </xf>
    <xf numFmtId="0" fontId="34" fillId="10" borderId="0" xfId="74" applyFont="1" applyFill="1" applyAlignment="1">
      <alignment horizontal="center"/>
    </xf>
    <xf numFmtId="0" fontId="35" fillId="10" borderId="0" xfId="74" applyFont="1" applyFill="1" applyAlignment="1">
      <alignment horizontal="center" wrapText="1"/>
    </xf>
    <xf numFmtId="0" fontId="2" fillId="2" borderId="53" xfId="74" applyFont="1" applyFill="1" applyBorder="1" applyAlignment="1">
      <alignment horizontal="center" vertical="center" wrapText="1"/>
    </xf>
    <xf numFmtId="0" fontId="36" fillId="10" borderId="52" xfId="74" applyFont="1" applyFill="1" applyBorder="1" applyAlignment="1">
      <alignment horizontal="center" vertical="center" wrapText="1"/>
    </xf>
    <xf numFmtId="0" fontId="2" fillId="10" borderId="25" xfId="74" applyFont="1" applyFill="1" applyBorder="1" applyAlignment="1">
      <alignment horizontal="center" vertical="center" wrapText="1"/>
    </xf>
    <xf numFmtId="0" fontId="32" fillId="10" borderId="0" xfId="74" applyFont="1" applyFill="1"/>
    <xf numFmtId="0" fontId="37" fillId="0" borderId="0" xfId="0" applyFont="1" applyAlignment="1">
      <alignment horizontal="center" vertical="center" wrapText="1"/>
    </xf>
  </cellXfs>
  <cellStyles count="88">
    <cellStyle name="Normal" xfId="0" builtinId="0"/>
    <cellStyle name="强调 2" xfId="1"/>
    <cellStyle name="强调 1" xfId="2"/>
    <cellStyle name="常规 3 3" xfId="3"/>
    <cellStyle name="常规 3 2" xfId="4"/>
    <cellStyle name="常规 2 3" xfId="5"/>
    <cellStyle name="表标题" xfId="6"/>
    <cellStyle name="百分比 2" xfId="7"/>
    <cellStyle name="Accent6 - 60%" xfId="8"/>
    <cellStyle name="Accent6 - 40%" xfId="9"/>
    <cellStyle name="Accent5 - 60%" xfId="10"/>
    <cellStyle name="Accent5 - 20%" xfId="11"/>
    <cellStyle name="强调 3" xfId="12"/>
    <cellStyle name="Accent3 - 40%" xfId="13"/>
    <cellStyle name="Accent2 - 60%" xfId="14"/>
    <cellStyle name="常规 4 2" xfId="15"/>
    <cellStyle name="百分比 4" xfId="16"/>
    <cellStyle name="Accent2 - 40%" xfId="17"/>
    <cellStyle name="常规 2 2" xfId="18"/>
    <cellStyle name="Accent2 - 20%" xfId="19"/>
    <cellStyle name="样式 1" xfId="20"/>
    <cellStyle name="60% - Accent6" xfId="21" builtinId="52"/>
    <cellStyle name="40% - Accent6" xfId="22" builtinId="51"/>
    <cellStyle name="60% - Accent5" xfId="23" builtinId="48"/>
    <cellStyle name="常规 5" xfId="24"/>
    <cellStyle name="Accent1 - 60%" xfId="25"/>
    <cellStyle name="Accent6" xfId="26" builtinId="49"/>
    <cellStyle name="40% - Accent5" xfId="27" builtinId="47"/>
    <cellStyle name="20% - Accent5" xfId="28" builtinId="46"/>
    <cellStyle name="60% - Accent4" xfId="29" builtinId="44"/>
    <cellStyle name="常规 4" xfId="30"/>
    <cellStyle name="Accent5" xfId="31" builtinId="45"/>
    <cellStyle name="40% - Accent4" xfId="32" builtinId="43"/>
    <cellStyle name="常规 3" xfId="33"/>
    <cellStyle name="Accent4" xfId="34" builtinId="41"/>
    <cellStyle name="Linked Cell" xfId="35" builtinId="24"/>
    <cellStyle name="40% - Accent3" xfId="36" builtinId="39"/>
    <cellStyle name="Accent5 - 40%" xfId="37"/>
    <cellStyle name="60% - Accent2" xfId="38" builtinId="36"/>
    <cellStyle name="常规 2" xfId="39"/>
    <cellStyle name="Accent1 - 20%" xfId="40"/>
    <cellStyle name="Accent3" xfId="41" builtinId="37"/>
    <cellStyle name="40% - Accent2" xfId="42" builtinId="35"/>
    <cellStyle name="20% - Accent2" xfId="43" builtinId="34"/>
    <cellStyle name="Accent2" xfId="44" builtinId="33"/>
    <cellStyle name="百分比 2 2" xfId="45"/>
    <cellStyle name="Accent1 - 40%" xfId="46"/>
    <cellStyle name="40% - Accent1" xfId="47" builtinId="31"/>
    <cellStyle name="Accent3 - 60%" xfId="48"/>
    <cellStyle name="20% - Accent1" xfId="49" builtinId="30"/>
    <cellStyle name="Accent1" xfId="50" builtinId="29"/>
    <cellStyle name="Neutral" xfId="51" builtinId="28"/>
    <cellStyle name="60% - Accent1" xfId="52" builtinId="32"/>
    <cellStyle name="Bad" xfId="53" builtinId="27"/>
    <cellStyle name="20% - Accent4" xfId="54" builtinId="42"/>
    <cellStyle name="Total" xfId="55" builtinId="25"/>
    <cellStyle name="Output" xfId="56" builtinId="21"/>
    <cellStyle name="Currency" xfId="57" builtinId="4"/>
    <cellStyle name="20% - Accent3" xfId="58" builtinId="38"/>
    <cellStyle name="Note" xfId="59" builtinId="10"/>
    <cellStyle name="Input" xfId="60" builtinId="20"/>
    <cellStyle name="Heading 4" xfId="61" builtinId="19"/>
    <cellStyle name="Calculation" xfId="62" builtinId="22"/>
    <cellStyle name="Accent4 - 40%" xfId="63"/>
    <cellStyle name="Good" xfId="64" builtinId="26"/>
    <cellStyle name="Heading 3" xfId="65" builtinId="18"/>
    <cellStyle name="Accent3 - 20%" xfId="66"/>
    <cellStyle name="CExplanatory Text" xfId="67" builtinId="53"/>
    <cellStyle name="常规 2 3 2" xfId="68"/>
    <cellStyle name="Heading 1" xfId="69" builtinId="16"/>
    <cellStyle name="Accent4 - 60%" xfId="70"/>
    <cellStyle name="Comma [0]" xfId="71" builtinId="6"/>
    <cellStyle name="Accent4 - 20%" xfId="72"/>
    <cellStyle name="20% - Accent6" xfId="73" builtinId="50"/>
    <cellStyle name="常规_金融产品销售系统_详细设计说明书_公用模块" xfId="74"/>
    <cellStyle name="Title" xfId="75" builtinId="15"/>
    <cellStyle name="Currency [0]" xfId="76" builtinId="7"/>
    <cellStyle name="常规 3 2 2" xfId="77"/>
    <cellStyle name="百分比 3" xfId="78"/>
    <cellStyle name="Warning Text" xfId="79" builtinId="11"/>
    <cellStyle name="Followed Hyperlink" xfId="80" builtinId="9"/>
    <cellStyle name="Accent6 - 20%" xfId="81"/>
    <cellStyle name="Heading 2" xfId="82" builtinId="17"/>
    <cellStyle name="Comma" xfId="83" builtinId="3"/>
    <cellStyle name="Check Cell" xfId="84" builtinId="23"/>
    <cellStyle name="60% - Accent3" xfId="85" builtinId="40"/>
    <cellStyle name="Percent" xfId="86" builtinId="5"/>
    <cellStyle name="Hyperlink" xfId="87" builtinId="8"/>
  </cellStyles>
  <tableStyles count="0" defaultTableStyle="TableStyleMedium2" defaultPivotStyle="PivotStyleLight16"/>
  <colors>
    <mruColors>
      <color rgb="00B6CEE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0" Type="http://schemas.microsoft.com/office/2006/relationships/vbaProject" Target="vbaProject.bin"/><Relationship Id="rId2" Type="http://schemas.openxmlformats.org/officeDocument/2006/relationships/worksheet" Target="worksheets/sheet2.xml"/><Relationship Id="rId19" Type="http://schemas.openxmlformats.org/officeDocument/2006/relationships/sharedStrings" Target="sharedStrings.xml"/><Relationship Id="rId18" Type="http://schemas.openxmlformats.org/officeDocument/2006/relationships/styles" Target="styles.xml"/><Relationship Id="rId17" Type="http://schemas.openxmlformats.org/officeDocument/2006/relationships/theme" Target="theme/theme1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CheckBox" fmlaLink="数据字典!$A$50" noThreeD="1" val="0"/>
</file>

<file path=xl/ctrlProps/ctrlProp4.xml><?xml version="1.0" encoding="utf-8"?>
<formControlPr xmlns="http://schemas.microsoft.com/office/spreadsheetml/2009/9/main" objectType="CheckBox" fmlaLink="数据字典!$A$51" noThreeD="1" val="0"/>
</file>

<file path=xl/ctrlProps/ctrlProp5.xml><?xml version="1.0" encoding="utf-8"?>
<formControlPr xmlns="http://schemas.microsoft.com/office/spreadsheetml/2009/9/main" objectType="CheckBox" fmlaLink="数据字典!$A$52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66675</xdr:colOff>
      <xdr:row>11</xdr:row>
      <xdr:rowOff>114300</xdr:rowOff>
    </xdr:from>
    <xdr:to>
      <xdr:col>6</xdr:col>
      <xdr:colOff>19050</xdr:colOff>
      <xdr:row>15</xdr:row>
      <xdr:rowOff>142875</xdr:rowOff>
    </xdr:to>
    <xdr:pic>
      <xdr:nvPicPr>
        <xdr:cNvPr id="2" name="Picture 3" descr="深交所新logo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221230" y="2070100"/>
          <a:ext cx="2106930" cy="739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35</xdr:row>
          <xdr:rowOff>0</xdr:rowOff>
        </xdr:from>
        <xdr:to>
          <xdr:col>5</xdr:col>
          <xdr:colOff>546100</xdr:colOff>
          <xdr:row>37</xdr:row>
          <xdr:rowOff>101600</xdr:rowOff>
        </xdr:to>
        <xdr:sp macro="[0]!数据校验按钮_Click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2294255" y="6223000"/>
              <a:ext cx="1842770" cy="4572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SimSun" panose="02010600030101010101" pitchFamily="7" charset="-122"/>
                  <a:ea typeface="SimSun" panose="02010600030101010101" pitchFamily="7" charset="-122"/>
                </a:rPr>
                <a:t>上传前数据校验</a:t>
              </a:r>
              <a:endParaRPr lang="zh-CN" altLang="en-US" sz="1600" b="0" i="0" u="none" strike="noStrike" baseline="0">
                <a:solidFill>
                  <a:srgbClr val="000000"/>
                </a:solidFill>
                <a:latin typeface="SimSun" panose="02010600030101010101" pitchFamily="7" charset="-122"/>
                <a:ea typeface="SimSun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76201</xdr:colOff>
      <xdr:row>47</xdr:row>
      <xdr:rowOff>57150</xdr:rowOff>
    </xdr:from>
    <xdr:to>
      <xdr:col>5</xdr:col>
      <xdr:colOff>419101</xdr:colOff>
      <xdr:row>49</xdr:row>
      <xdr:rowOff>0</xdr:rowOff>
    </xdr:to>
    <xdr:sp>
      <xdr:nvSpPr>
        <xdr:cNvPr id="3" name="TextBox 2"/>
        <xdr:cNvSpPr txBox="1"/>
      </xdr:nvSpPr>
      <xdr:spPr>
        <a:xfrm>
          <a:off x="2230755" y="8413750"/>
          <a:ext cx="1779270" cy="2984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版本号：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v</a:t>
          </a:r>
          <a:r>
            <a:rPr lang="en-US" altLang="zh-CN" sz="1100" baseline="0">
              <a:latin typeface="微软雅黑" panose="020B0503020204020204" pitchFamily="34" charset="-122"/>
              <a:ea typeface="微软雅黑" panose="020B0503020204020204" pitchFamily="34" charset="-122"/>
            </a:rPr>
            <a:t> 1.0.1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50800</xdr:colOff>
          <xdr:row>11</xdr:row>
          <xdr:rowOff>25400</xdr:rowOff>
        </xdr:from>
        <xdr:to>
          <xdr:col>5</xdr:col>
          <xdr:colOff>1866900</xdr:colOff>
          <xdr:row>12</xdr:row>
          <xdr:rowOff>101600</xdr:rowOff>
        </xdr:to>
        <xdr:sp macro="[0]!版本页新增一行按钮_Click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7040880" y="3115945"/>
              <a:ext cx="1816100" cy="3143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SimSun" panose="02010600030101010101" pitchFamily="7" charset="-122"/>
                  <a:ea typeface="SimSun" panose="02010600030101010101" pitchFamily="7" charset="-122"/>
                </a:rPr>
                <a:t>新增一行记录</a:t>
              </a:r>
              <a:endParaRPr lang="zh-CN" altLang="en-US" sz="1600" b="0" i="0" u="none" strike="noStrike" baseline="0">
                <a:solidFill>
                  <a:srgbClr val="000000"/>
                </a:solidFill>
                <a:latin typeface="SimSun" panose="02010600030101010101" pitchFamily="7" charset="-122"/>
                <a:ea typeface="SimSun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9</xdr:row>
          <xdr:rowOff>50800</xdr:rowOff>
        </xdr:from>
        <xdr:to>
          <xdr:col>2</xdr:col>
          <xdr:colOff>914400</xdr:colOff>
          <xdr:row>9</xdr:row>
          <xdr:rowOff>355600</xdr:rowOff>
        </xdr:to>
        <xdr:sp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286125" y="3911600"/>
              <a:ext cx="1137285" cy="30480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SimSun" panose="02010600030101010101" pitchFamily="7" charset="-122"/>
                  <a:ea typeface="SimSun" panose="02010600030101010101" pitchFamily="7" charset="-122"/>
                </a:rPr>
                <a:t>员工持股计划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SimSun" panose="02010600030101010101" pitchFamily="7" charset="-122"/>
                <a:ea typeface="SimSun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9</xdr:row>
          <xdr:rowOff>355600</xdr:rowOff>
        </xdr:from>
        <xdr:to>
          <xdr:col>2</xdr:col>
          <xdr:colOff>1016000</xdr:colOff>
          <xdr:row>9</xdr:row>
          <xdr:rowOff>635000</xdr:rowOff>
        </xdr:to>
        <xdr:sp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3286125" y="4216400"/>
              <a:ext cx="1238885" cy="27940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SimSun" panose="02010600030101010101" pitchFamily="7" charset="-122"/>
                  <a:ea typeface="SimSun" panose="02010600030101010101" pitchFamily="7" charset="-122"/>
                </a:rPr>
                <a:t>股权激励计划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SimSun" panose="02010600030101010101" pitchFamily="7" charset="-122"/>
                <a:ea typeface="SimSun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9</xdr:row>
          <xdr:rowOff>635000</xdr:rowOff>
        </xdr:from>
        <xdr:to>
          <xdr:col>2</xdr:col>
          <xdr:colOff>901700</xdr:colOff>
          <xdr:row>9</xdr:row>
          <xdr:rowOff>927100</xdr:rowOff>
        </xdr:to>
        <xdr:sp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3286125" y="4495800"/>
              <a:ext cx="1124585" cy="29210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SimSun" panose="02010600030101010101" pitchFamily="7" charset="-122"/>
                  <a:ea typeface="SimSun" panose="02010600030101010101" pitchFamily="7" charset="-122"/>
                </a:rPr>
                <a:t>以上两者均没有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SimSun" panose="02010600030101010101" pitchFamily="7" charset="-122"/>
                <a:ea typeface="SimSun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:I51"/>
  <sheetViews>
    <sheetView workbookViewId="0">
      <selection activeCell="A1" sqref="A1:I51"/>
    </sheetView>
  </sheetViews>
  <sheetFormatPr defaultColWidth="8.8359375" defaultRowHeight="14"/>
  <sheetData>
    <row r="1" spans="1:9">
      <c r="A1" s="294" t="s">
        <v>0</v>
      </c>
      <c r="B1" s="116"/>
      <c r="C1" s="116"/>
      <c r="D1" s="116"/>
      <c r="E1" s="116"/>
      <c r="F1" s="116"/>
      <c r="G1" s="116"/>
      <c r="H1" s="116"/>
      <c r="I1" s="116"/>
    </row>
    <row r="2" spans="1:9">
      <c r="A2" s="116"/>
      <c r="B2" s="116"/>
      <c r="C2" s="116"/>
      <c r="D2" s="116"/>
      <c r="E2" s="116"/>
      <c r="F2" s="116"/>
      <c r="G2" s="116"/>
      <c r="H2" s="116"/>
      <c r="I2" s="116"/>
    </row>
    <row r="3" spans="1:9">
      <c r="A3" s="116"/>
      <c r="B3" s="116"/>
      <c r="C3" s="116"/>
      <c r="D3" s="116"/>
      <c r="E3" s="116"/>
      <c r="F3" s="116"/>
      <c r="G3" s="116"/>
      <c r="H3" s="116"/>
      <c r="I3" s="116"/>
    </row>
    <row r="4" spans="1:9">
      <c r="A4" s="116"/>
      <c r="B4" s="116"/>
      <c r="C4" s="116"/>
      <c r="D4" s="116"/>
      <c r="E4" s="116"/>
      <c r="F4" s="116"/>
      <c r="G4" s="116"/>
      <c r="H4" s="116"/>
      <c r="I4" s="116"/>
    </row>
    <row r="5" spans="1:9">
      <c r="A5" s="116"/>
      <c r="B5" s="116"/>
      <c r="C5" s="116"/>
      <c r="D5" s="116"/>
      <c r="E5" s="116"/>
      <c r="F5" s="116"/>
      <c r="G5" s="116"/>
      <c r="H5" s="116"/>
      <c r="I5" s="116"/>
    </row>
    <row r="6" spans="1:9">
      <c r="A6" s="116"/>
      <c r="B6" s="116"/>
      <c r="C6" s="116"/>
      <c r="D6" s="116"/>
      <c r="E6" s="116"/>
      <c r="F6" s="116"/>
      <c r="G6" s="116"/>
      <c r="H6" s="116"/>
      <c r="I6" s="116"/>
    </row>
    <row r="7" spans="1:9">
      <c r="A7" s="116"/>
      <c r="B7" s="116"/>
      <c r="C7" s="116"/>
      <c r="D7" s="116"/>
      <c r="E7" s="116"/>
      <c r="F7" s="116"/>
      <c r="G7" s="116"/>
      <c r="H7" s="116"/>
      <c r="I7" s="116"/>
    </row>
    <row r="8" spans="1:9">
      <c r="A8" s="116"/>
      <c r="B8" s="116"/>
      <c r="C8" s="116"/>
      <c r="D8" s="116"/>
      <c r="E8" s="116"/>
      <c r="F8" s="116"/>
      <c r="G8" s="116"/>
      <c r="H8" s="116"/>
      <c r="I8" s="116"/>
    </row>
    <row r="9" spans="1:9">
      <c r="A9" s="116"/>
      <c r="B9" s="116"/>
      <c r="C9" s="116"/>
      <c r="D9" s="116"/>
      <c r="E9" s="116"/>
      <c r="F9" s="116"/>
      <c r="G9" s="116"/>
      <c r="H9" s="116"/>
      <c r="I9" s="116"/>
    </row>
    <row r="10" spans="1:9">
      <c r="A10" s="116"/>
      <c r="B10" s="116"/>
      <c r="C10" s="116"/>
      <c r="D10" s="116"/>
      <c r="E10" s="116"/>
      <c r="F10" s="116"/>
      <c r="G10" s="116"/>
      <c r="H10" s="116"/>
      <c r="I10" s="116"/>
    </row>
    <row r="11" spans="1:9">
      <c r="A11" s="116"/>
      <c r="B11" s="116"/>
      <c r="C11" s="116"/>
      <c r="D11" s="116"/>
      <c r="E11" s="116"/>
      <c r="F11" s="116"/>
      <c r="G11" s="116"/>
      <c r="H11" s="116"/>
      <c r="I11" s="116"/>
    </row>
    <row r="12" spans="1:9">
      <c r="A12" s="116"/>
      <c r="B12" s="116"/>
      <c r="C12" s="116"/>
      <c r="D12" s="116"/>
      <c r="E12" s="116"/>
      <c r="F12" s="116"/>
      <c r="G12" s="116"/>
      <c r="H12" s="116"/>
      <c r="I12" s="116"/>
    </row>
    <row r="13" spans="1:9">
      <c r="A13" s="116"/>
      <c r="B13" s="116"/>
      <c r="C13" s="116"/>
      <c r="D13" s="116"/>
      <c r="E13" s="116"/>
      <c r="F13" s="116"/>
      <c r="G13" s="116"/>
      <c r="H13" s="116"/>
      <c r="I13" s="116"/>
    </row>
    <row r="14" spans="1:9">
      <c r="A14" s="116"/>
      <c r="B14" s="116"/>
      <c r="C14" s="116"/>
      <c r="D14" s="116"/>
      <c r="E14" s="116"/>
      <c r="F14" s="116"/>
      <c r="G14" s="116"/>
      <c r="H14" s="116"/>
      <c r="I14" s="116"/>
    </row>
    <row r="15" spans="1:9">
      <c r="A15" s="116"/>
      <c r="B15" s="116"/>
      <c r="C15" s="116"/>
      <c r="D15" s="116"/>
      <c r="E15" s="116"/>
      <c r="F15" s="116"/>
      <c r="G15" s="116"/>
      <c r="H15" s="116"/>
      <c r="I15" s="116"/>
    </row>
    <row r="16" spans="1:9">
      <c r="A16" s="116"/>
      <c r="B16" s="116"/>
      <c r="C16" s="116"/>
      <c r="D16" s="116"/>
      <c r="E16" s="116"/>
      <c r="F16" s="116"/>
      <c r="G16" s="116"/>
      <c r="H16" s="116"/>
      <c r="I16" s="116"/>
    </row>
    <row r="17" spans="1:9">
      <c r="A17" s="116"/>
      <c r="B17" s="116"/>
      <c r="C17" s="116"/>
      <c r="D17" s="116"/>
      <c r="E17" s="116"/>
      <c r="F17" s="116"/>
      <c r="G17" s="116"/>
      <c r="H17" s="116"/>
      <c r="I17" s="116"/>
    </row>
    <row r="18" spans="1:9">
      <c r="A18" s="116"/>
      <c r="B18" s="116"/>
      <c r="C18" s="116"/>
      <c r="D18" s="116"/>
      <c r="E18" s="116"/>
      <c r="F18" s="116"/>
      <c r="G18" s="116"/>
      <c r="H18" s="116"/>
      <c r="I18" s="116"/>
    </row>
    <row r="19" spans="1:9">
      <c r="A19" s="116"/>
      <c r="B19" s="116"/>
      <c r="C19" s="116"/>
      <c r="D19" s="116"/>
      <c r="E19" s="116"/>
      <c r="F19" s="116"/>
      <c r="G19" s="116"/>
      <c r="H19" s="116"/>
      <c r="I19" s="116"/>
    </row>
    <row r="20" spans="1:9">
      <c r="A20" s="116"/>
      <c r="B20" s="116"/>
      <c r="C20" s="116"/>
      <c r="D20" s="116"/>
      <c r="E20" s="116"/>
      <c r="F20" s="116"/>
      <c r="G20" s="116"/>
      <c r="H20" s="116"/>
      <c r="I20" s="116"/>
    </row>
    <row r="21" spans="1:9">
      <c r="A21" s="116"/>
      <c r="B21" s="116"/>
      <c r="C21" s="116"/>
      <c r="D21" s="116"/>
      <c r="E21" s="116"/>
      <c r="F21" s="116"/>
      <c r="G21" s="116"/>
      <c r="H21" s="116"/>
      <c r="I21" s="116"/>
    </row>
    <row r="22" spans="1:9">
      <c r="A22" s="116"/>
      <c r="B22" s="116"/>
      <c r="C22" s="116"/>
      <c r="D22" s="116"/>
      <c r="E22" s="116"/>
      <c r="F22" s="116"/>
      <c r="G22" s="116"/>
      <c r="H22" s="116"/>
      <c r="I22" s="116"/>
    </row>
    <row r="23" spans="1:9">
      <c r="A23" s="116"/>
      <c r="B23" s="116"/>
      <c r="C23" s="116"/>
      <c r="D23" s="116"/>
      <c r="E23" s="116"/>
      <c r="F23" s="116"/>
      <c r="G23" s="116"/>
      <c r="H23" s="116"/>
      <c r="I23" s="116"/>
    </row>
    <row r="24" spans="1:9">
      <c r="A24" s="116"/>
      <c r="B24" s="116"/>
      <c r="C24" s="116"/>
      <c r="D24" s="116"/>
      <c r="E24" s="116"/>
      <c r="F24" s="116"/>
      <c r="G24" s="116"/>
      <c r="H24" s="116"/>
      <c r="I24" s="116"/>
    </row>
    <row r="25" spans="1:9">
      <c r="A25" s="116"/>
      <c r="B25" s="116"/>
      <c r="C25" s="116"/>
      <c r="D25" s="116"/>
      <c r="E25" s="116"/>
      <c r="F25" s="116"/>
      <c r="G25" s="116"/>
      <c r="H25" s="116"/>
      <c r="I25" s="116"/>
    </row>
    <row r="26" spans="1:9">
      <c r="A26" s="116"/>
      <c r="B26" s="116"/>
      <c r="C26" s="116"/>
      <c r="D26" s="116"/>
      <c r="E26" s="116"/>
      <c r="F26" s="116"/>
      <c r="G26" s="116"/>
      <c r="H26" s="116"/>
      <c r="I26" s="116"/>
    </row>
    <row r="27" spans="1:9">
      <c r="A27" s="116"/>
      <c r="B27" s="116"/>
      <c r="C27" s="116"/>
      <c r="D27" s="116"/>
      <c r="E27" s="116"/>
      <c r="F27" s="116"/>
      <c r="G27" s="116"/>
      <c r="H27" s="116"/>
      <c r="I27" s="116"/>
    </row>
    <row r="28" spans="1:9">
      <c r="A28" s="116"/>
      <c r="B28" s="116"/>
      <c r="C28" s="116"/>
      <c r="D28" s="116"/>
      <c r="E28" s="116"/>
      <c r="F28" s="116"/>
      <c r="G28" s="116"/>
      <c r="H28" s="116"/>
      <c r="I28" s="116"/>
    </row>
    <row r="29" spans="1:9">
      <c r="A29" s="116"/>
      <c r="B29" s="116"/>
      <c r="C29" s="116"/>
      <c r="D29" s="116"/>
      <c r="E29" s="116"/>
      <c r="F29" s="116"/>
      <c r="G29" s="116"/>
      <c r="H29" s="116"/>
      <c r="I29" s="116"/>
    </row>
    <row r="30" spans="1:9">
      <c r="A30" s="116"/>
      <c r="B30" s="116"/>
      <c r="C30" s="116"/>
      <c r="D30" s="116"/>
      <c r="E30" s="116"/>
      <c r="F30" s="116"/>
      <c r="G30" s="116"/>
      <c r="H30" s="116"/>
      <c r="I30" s="116"/>
    </row>
    <row r="31" spans="1:9">
      <c r="A31" s="116"/>
      <c r="B31" s="116"/>
      <c r="C31" s="116"/>
      <c r="D31" s="116"/>
      <c r="E31" s="116"/>
      <c r="F31" s="116"/>
      <c r="G31" s="116"/>
      <c r="H31" s="116"/>
      <c r="I31" s="116"/>
    </row>
    <row r="32" spans="1:9">
      <c r="A32" s="116"/>
      <c r="B32" s="116"/>
      <c r="C32" s="116"/>
      <c r="D32" s="116"/>
      <c r="E32" s="116"/>
      <c r="F32" s="116"/>
      <c r="G32" s="116"/>
      <c r="H32" s="116"/>
      <c r="I32" s="116"/>
    </row>
    <row r="33" spans="1:9">
      <c r="A33" s="116"/>
      <c r="B33" s="116"/>
      <c r="C33" s="116"/>
      <c r="D33" s="116"/>
      <c r="E33" s="116"/>
      <c r="F33" s="116"/>
      <c r="G33" s="116"/>
      <c r="H33" s="116"/>
      <c r="I33" s="116"/>
    </row>
    <row r="34" spans="1:9">
      <c r="A34" s="116"/>
      <c r="B34" s="116"/>
      <c r="C34" s="116"/>
      <c r="D34" s="116"/>
      <c r="E34" s="116"/>
      <c r="F34" s="116"/>
      <c r="G34" s="116"/>
      <c r="H34" s="116"/>
      <c r="I34" s="116"/>
    </row>
    <row r="35" spans="1:9">
      <c r="A35" s="116"/>
      <c r="B35" s="116"/>
      <c r="C35" s="116"/>
      <c r="D35" s="116"/>
      <c r="E35" s="116"/>
      <c r="F35" s="116"/>
      <c r="G35" s="116"/>
      <c r="H35" s="116"/>
      <c r="I35" s="116"/>
    </row>
    <row r="36" spans="1:9">
      <c r="A36" s="116"/>
      <c r="B36" s="116"/>
      <c r="C36" s="116"/>
      <c r="D36" s="116"/>
      <c r="E36" s="116"/>
      <c r="F36" s="116"/>
      <c r="G36" s="116"/>
      <c r="H36" s="116"/>
      <c r="I36" s="116"/>
    </row>
    <row r="37" spans="1:9">
      <c r="A37" s="116"/>
      <c r="B37" s="116"/>
      <c r="C37" s="116"/>
      <c r="D37" s="116"/>
      <c r="E37" s="116"/>
      <c r="F37" s="116"/>
      <c r="G37" s="116"/>
      <c r="H37" s="116"/>
      <c r="I37" s="116"/>
    </row>
    <row r="38" spans="1:9">
      <c r="A38" s="116"/>
      <c r="B38" s="116"/>
      <c r="C38" s="116"/>
      <c r="D38" s="116"/>
      <c r="E38" s="116"/>
      <c r="F38" s="116"/>
      <c r="G38" s="116"/>
      <c r="H38" s="116"/>
      <c r="I38" s="116"/>
    </row>
    <row r="39" spans="1:9">
      <c r="A39" s="116"/>
      <c r="B39" s="116"/>
      <c r="C39" s="116"/>
      <c r="D39" s="116"/>
      <c r="E39" s="116"/>
      <c r="F39" s="116"/>
      <c r="G39" s="116"/>
      <c r="H39" s="116"/>
      <c r="I39" s="116"/>
    </row>
    <row r="40" spans="1:9">
      <c r="A40" s="116"/>
      <c r="B40" s="116"/>
      <c r="C40" s="116"/>
      <c r="D40" s="116"/>
      <c r="E40" s="116"/>
      <c r="F40" s="116"/>
      <c r="G40" s="116"/>
      <c r="H40" s="116"/>
      <c r="I40" s="116"/>
    </row>
    <row r="41" spans="1:9">
      <c r="A41" s="116"/>
      <c r="B41" s="116"/>
      <c r="C41" s="116"/>
      <c r="D41" s="116"/>
      <c r="E41" s="116"/>
      <c r="F41" s="116"/>
      <c r="G41" s="116"/>
      <c r="H41" s="116"/>
      <c r="I41" s="116"/>
    </row>
    <row r="42" spans="1:9">
      <c r="A42" s="116"/>
      <c r="B42" s="116"/>
      <c r="C42" s="116"/>
      <c r="D42" s="116"/>
      <c r="E42" s="116"/>
      <c r="F42" s="116"/>
      <c r="G42" s="116"/>
      <c r="H42" s="116"/>
      <c r="I42" s="116"/>
    </row>
    <row r="43" spans="1:9">
      <c r="A43" s="116"/>
      <c r="B43" s="116"/>
      <c r="C43" s="116"/>
      <c r="D43" s="116"/>
      <c r="E43" s="116"/>
      <c r="F43" s="116"/>
      <c r="G43" s="116"/>
      <c r="H43" s="116"/>
      <c r="I43" s="116"/>
    </row>
    <row r="44" spans="1:9">
      <c r="A44" s="116"/>
      <c r="B44" s="116"/>
      <c r="C44" s="116"/>
      <c r="D44" s="116"/>
      <c r="E44" s="116"/>
      <c r="F44" s="116"/>
      <c r="G44" s="116"/>
      <c r="H44" s="116"/>
      <c r="I44" s="116"/>
    </row>
    <row r="45" spans="1:9">
      <c r="A45" s="116"/>
      <c r="B45" s="116"/>
      <c r="C45" s="116"/>
      <c r="D45" s="116"/>
      <c r="E45" s="116"/>
      <c r="F45" s="116"/>
      <c r="G45" s="116"/>
      <c r="H45" s="116"/>
      <c r="I45" s="116"/>
    </row>
    <row r="46" spans="1:9">
      <c r="A46" s="116"/>
      <c r="B46" s="116"/>
      <c r="C46" s="116"/>
      <c r="D46" s="116"/>
      <c r="E46" s="116"/>
      <c r="F46" s="116"/>
      <c r="G46" s="116"/>
      <c r="H46" s="116"/>
      <c r="I46" s="116"/>
    </row>
    <row r="47" spans="1:9">
      <c r="A47" s="116"/>
      <c r="B47" s="116"/>
      <c r="C47" s="116"/>
      <c r="D47" s="116"/>
      <c r="E47" s="116"/>
      <c r="F47" s="116"/>
      <c r="G47" s="116"/>
      <c r="H47" s="116"/>
      <c r="I47" s="116"/>
    </row>
    <row r="48" spans="1:9">
      <c r="A48" s="116"/>
      <c r="B48" s="116"/>
      <c r="C48" s="116"/>
      <c r="D48" s="116"/>
      <c r="E48" s="116"/>
      <c r="F48" s="116"/>
      <c r="G48" s="116"/>
      <c r="H48" s="116"/>
      <c r="I48" s="116"/>
    </row>
    <row r="49" spans="1:9">
      <c r="A49" s="116"/>
      <c r="B49" s="116"/>
      <c r="C49" s="116"/>
      <c r="D49" s="116"/>
      <c r="E49" s="116"/>
      <c r="F49" s="116"/>
      <c r="G49" s="116"/>
      <c r="H49" s="116"/>
      <c r="I49" s="116"/>
    </row>
    <row r="50" spans="1:9">
      <c r="A50" s="116"/>
      <c r="B50" s="116"/>
      <c r="C50" s="116"/>
      <c r="D50" s="116"/>
      <c r="E50" s="116"/>
      <c r="F50" s="116"/>
      <c r="G50" s="116"/>
      <c r="H50" s="116"/>
      <c r="I50" s="116"/>
    </row>
    <row r="51" spans="1:9">
      <c r="A51" s="116"/>
      <c r="B51" s="116"/>
      <c r="C51" s="116"/>
      <c r="D51" s="116"/>
      <c r="E51" s="116"/>
      <c r="F51" s="116"/>
      <c r="G51" s="116"/>
      <c r="H51" s="116"/>
      <c r="I51" s="116"/>
    </row>
  </sheetData>
  <sheetProtection password="C616" sheet="1" selectLockedCells="1" selectUnlockedCells="1" objects="1" scenarios="1"/>
  <mergeCells count="1">
    <mergeCell ref="A1:I51"/>
  </mergeCells>
  <pageMargins left="0.747916666666667" right="0.747916666666667" top="0.984027777777778" bottom="0.984027777777778" header="0.511805555555556" footer="0.511805555555556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name="Button 1" r:id="rId3">
              <controlPr print="0" defaultSize="0">
                <anchor moveWithCells="1" sizeWithCells="1">
                  <from>
                    <xdr:col>3</xdr:col>
                    <xdr:colOff>139700</xdr:colOff>
                    <xdr:row>35</xdr:row>
                    <xdr:rowOff>0</xdr:rowOff>
                  </from>
                  <to>
                    <xdr:col>5</xdr:col>
                    <xdr:colOff>546100</xdr:colOff>
                    <xdr:row>37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B1:I56"/>
  <sheetViews>
    <sheetView showRowColHeaders="0" workbookViewId="0">
      <selection activeCell="J15" sqref="J15"/>
    </sheetView>
  </sheetViews>
  <sheetFormatPr defaultColWidth="8.8359375" defaultRowHeight="14"/>
  <cols>
    <col min="2" max="2" width="16.1640625" customWidth="1"/>
    <col min="3" max="3" width="15.1640625" customWidth="1"/>
    <col min="4" max="4" width="23.3359375" customWidth="1"/>
    <col min="5" max="5" width="22.5" customWidth="1"/>
    <col min="6" max="6" width="25.3359375" customWidth="1"/>
  </cols>
  <sheetData>
    <row r="1" ht="22" customHeight="1" spans="2:6">
      <c r="B1" s="271"/>
      <c r="C1" s="271"/>
      <c r="D1" s="271"/>
      <c r="E1" s="271"/>
      <c r="F1" s="271"/>
    </row>
    <row r="2" ht="20" customHeight="1" spans="2:6">
      <c r="B2" s="272" t="s">
        <v>1</v>
      </c>
      <c r="C2" s="273" t="s">
        <v>2</v>
      </c>
      <c r="D2" s="274"/>
      <c r="E2" s="290" t="s">
        <v>3</v>
      </c>
      <c r="F2" s="291"/>
    </row>
    <row r="3" ht="25" customHeight="1" spans="2:6">
      <c r="B3" s="275" t="s">
        <v>4</v>
      </c>
      <c r="C3" s="276"/>
      <c r="D3" s="277"/>
      <c r="E3" s="277"/>
      <c r="F3" s="292"/>
    </row>
    <row r="4" ht="25" customHeight="1" spans="2:6">
      <c r="B4" s="275" t="s">
        <v>5</v>
      </c>
      <c r="C4" s="278"/>
      <c r="D4" s="279"/>
      <c r="E4" s="279"/>
      <c r="F4" s="282"/>
    </row>
    <row r="5" ht="25" customHeight="1" spans="2:6">
      <c r="B5" s="280" t="s">
        <v>6</v>
      </c>
      <c r="C5" s="281" t="s">
        <v>7</v>
      </c>
      <c r="D5" s="282"/>
      <c r="E5" s="281" t="s">
        <v>8</v>
      </c>
      <c r="F5" s="282"/>
    </row>
    <row r="6" ht="25" customHeight="1" spans="2:6">
      <c r="B6" s="283"/>
      <c r="C6" s="281" t="s">
        <v>9</v>
      </c>
      <c r="D6" s="282"/>
      <c r="E6" s="281" t="s">
        <v>10</v>
      </c>
      <c r="F6" s="282"/>
    </row>
    <row r="7" ht="17.6" spans="2:6">
      <c r="B7" s="271"/>
      <c r="C7" s="271"/>
      <c r="D7" s="284" t="s">
        <v>11</v>
      </c>
      <c r="E7" s="271"/>
      <c r="F7" s="271"/>
    </row>
    <row r="8" ht="25" customHeight="1" spans="2:6">
      <c r="B8" s="280" t="s">
        <v>12</v>
      </c>
      <c r="C8" s="280" t="s">
        <v>13</v>
      </c>
      <c r="D8" s="280" t="s">
        <v>14</v>
      </c>
      <c r="E8" s="280" t="s">
        <v>15</v>
      </c>
      <c r="F8" s="280" t="s">
        <v>16</v>
      </c>
    </row>
    <row r="9" ht="20" customHeight="1" spans="2:6">
      <c r="B9" s="285" t="s">
        <v>2</v>
      </c>
      <c r="C9" s="285">
        <v>20200120</v>
      </c>
      <c r="D9" s="286" t="s">
        <v>17</v>
      </c>
      <c r="E9" s="286"/>
      <c r="F9" s="286" t="s">
        <v>18</v>
      </c>
    </row>
    <row r="10" ht="20" customHeight="1" spans="2:6">
      <c r="B10" s="285" t="s">
        <v>19</v>
      </c>
      <c r="C10" s="285">
        <v>20191225</v>
      </c>
      <c r="D10" s="286" t="s">
        <v>17</v>
      </c>
      <c r="E10" s="286"/>
      <c r="F10" s="286" t="s">
        <v>20</v>
      </c>
    </row>
    <row r="11" ht="18.75" customHeight="1" spans="2:6">
      <c r="B11" s="287"/>
      <c r="C11" s="287"/>
      <c r="D11" s="287"/>
      <c r="E11" s="287"/>
      <c r="F11" s="287"/>
    </row>
    <row r="12" ht="18.75" customHeight="1" spans="2:6">
      <c r="B12" s="287"/>
      <c r="C12" s="287"/>
      <c r="D12" s="287"/>
      <c r="E12" s="287"/>
      <c r="F12" s="287"/>
    </row>
    <row r="13" ht="18.75" customHeight="1" spans="2:6">
      <c r="B13" s="287"/>
      <c r="C13" s="287"/>
      <c r="D13" s="287"/>
      <c r="E13" s="287"/>
      <c r="F13" s="287"/>
    </row>
    <row r="14" ht="41.25" customHeight="1" spans="2:6">
      <c r="B14" s="288" t="s">
        <v>21</v>
      </c>
      <c r="C14" s="288"/>
      <c r="D14" s="288"/>
      <c r="E14" s="288"/>
      <c r="F14" s="288"/>
    </row>
    <row r="15" ht="57" customHeight="1" spans="2:6">
      <c r="B15" s="289" t="s">
        <v>22</v>
      </c>
      <c r="C15" s="289"/>
      <c r="D15" s="289"/>
      <c r="E15" s="289"/>
      <c r="F15" s="289"/>
    </row>
    <row r="16" ht="22" customHeight="1" spans="2:6">
      <c r="B16" s="271"/>
      <c r="C16" s="271"/>
      <c r="D16" s="271"/>
      <c r="E16" s="271"/>
      <c r="F16" s="271"/>
    </row>
    <row r="17" ht="20" customHeight="1" spans="2:6">
      <c r="B17" s="271"/>
      <c r="C17" s="271"/>
      <c r="D17" s="271"/>
      <c r="E17" s="271"/>
      <c r="F17" s="271"/>
    </row>
    <row r="18" ht="25" customHeight="1" spans="2:6">
      <c r="B18" s="271"/>
      <c r="C18" s="271"/>
      <c r="D18" s="271"/>
      <c r="E18" s="271"/>
      <c r="F18" s="271"/>
    </row>
    <row r="19" ht="25" customHeight="1" spans="2:6">
      <c r="B19" s="271"/>
      <c r="C19" s="271"/>
      <c r="D19" s="271"/>
      <c r="E19" s="271"/>
      <c r="F19" s="271"/>
    </row>
    <row r="20" ht="25" customHeight="1" spans="2:6">
      <c r="B20" s="271"/>
      <c r="C20" s="271"/>
      <c r="D20" s="271"/>
      <c r="E20" s="271"/>
      <c r="F20" s="271"/>
    </row>
    <row r="21" ht="25" customHeight="1"/>
    <row r="23" ht="25" customHeight="1"/>
    <row r="24" ht="20" customHeight="1"/>
    <row r="25" ht="20" customHeight="1"/>
    <row r="26" ht="18.75" customHeight="1"/>
    <row r="27" ht="18.75" customHeight="1"/>
    <row r="28" ht="18.75" customHeight="1"/>
    <row r="29" ht="41.25" customHeight="1"/>
    <row r="30" ht="57" customHeight="1"/>
    <row r="34" ht="17.6" spans="7:8">
      <c r="G34" s="271"/>
      <c r="H34" s="271"/>
    </row>
    <row r="35" ht="17.6" spans="7:8">
      <c r="G35" s="271"/>
      <c r="H35" s="293"/>
    </row>
    <row r="36" ht="14.25" customHeight="1" spans="7:8">
      <c r="G36" s="271"/>
      <c r="H36" s="271"/>
    </row>
    <row r="37" ht="17.6" spans="7:8">
      <c r="G37" s="271"/>
      <c r="H37" s="271"/>
    </row>
    <row r="38" ht="17.6" spans="7:8">
      <c r="G38" s="271"/>
      <c r="H38" s="271"/>
    </row>
    <row r="39" ht="17.6" spans="7:8">
      <c r="G39" s="271"/>
      <c r="H39" s="271"/>
    </row>
    <row r="40" ht="17.6" spans="7:8">
      <c r="G40" s="271"/>
      <c r="H40" s="271"/>
    </row>
    <row r="41" ht="15.2" spans="7:8">
      <c r="G41" s="284"/>
      <c r="H41" s="284"/>
    </row>
    <row r="55" spans="9:9">
      <c r="I55" s="293"/>
    </row>
    <row r="56" ht="15.2" spans="9:9">
      <c r="I56" s="284"/>
    </row>
  </sheetData>
  <sheetProtection password="C616" sheet="1" selectLockedCells="1" selectUnlockedCells="1" objects="1" scenarios="1"/>
  <mergeCells count="6">
    <mergeCell ref="C2:D2"/>
    <mergeCell ref="C3:F3"/>
    <mergeCell ref="C4:F4"/>
    <mergeCell ref="B14:F14"/>
    <mergeCell ref="B15:F15"/>
    <mergeCell ref="B5:B6"/>
  </mergeCells>
  <pageMargins left="0.708333333333333" right="0.708333333333333" top="0.747916666666667" bottom="0.747916666666667" header="0.511805555555556" footer="0.511805555555556"/>
  <pageSetup paperSize="9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name="Button 3" r:id="rId3">
              <controlPr print="0" defaultSize="0">
                <anchor mov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1866900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/>
  <dimension ref="B2:E20"/>
  <sheetViews>
    <sheetView showRowColHeaders="0" workbookViewId="0">
      <selection activeCell="C26" sqref="C26"/>
    </sheetView>
  </sheetViews>
  <sheetFormatPr defaultColWidth="8.8359375" defaultRowHeight="25" customHeight="1" outlineLevelCol="4"/>
  <cols>
    <col min="1" max="1" width="6" customWidth="1"/>
    <col min="2" max="2" width="22.5" customWidth="1"/>
    <col min="3" max="3" width="26.5" customWidth="1"/>
    <col min="4" max="4" width="23" customWidth="1"/>
    <col min="5" max="5" width="35.6640625" customWidth="1"/>
  </cols>
  <sheetData>
    <row r="2" customHeight="1" spans="2:5">
      <c r="B2" s="256" t="s">
        <v>23</v>
      </c>
      <c r="C2" s="257" t="s">
        <v>0</v>
      </c>
      <c r="D2" s="257"/>
      <c r="E2" s="257"/>
    </row>
    <row r="3" customHeight="1" spans="2:5">
      <c r="B3" s="256" t="s">
        <v>24</v>
      </c>
      <c r="C3" s="258"/>
      <c r="D3" s="256" t="s">
        <v>25</v>
      </c>
      <c r="E3" s="258"/>
    </row>
    <row r="4" customHeight="1" spans="2:5">
      <c r="B4" s="256" t="s">
        <v>26</v>
      </c>
      <c r="C4" s="258"/>
      <c r="D4" s="256" t="s">
        <v>27</v>
      </c>
      <c r="E4" s="258" t="s">
        <v>28</v>
      </c>
    </row>
    <row r="5" customHeight="1" spans="2:5">
      <c r="B5" s="256" t="s">
        <v>29</v>
      </c>
      <c r="C5" s="257" t="s">
        <v>30</v>
      </c>
      <c r="D5" s="257"/>
      <c r="E5" s="257"/>
    </row>
    <row r="6" customHeight="1" spans="2:5">
      <c r="B6" s="256" t="s">
        <v>31</v>
      </c>
      <c r="C6" s="258"/>
      <c r="D6" s="258"/>
      <c r="E6" s="258"/>
    </row>
    <row r="7" customHeight="1" spans="2:5">
      <c r="B7" s="256" t="s">
        <v>32</v>
      </c>
      <c r="C7" s="258"/>
      <c r="D7" s="258"/>
      <c r="E7" s="258"/>
    </row>
    <row r="8" customHeight="1" spans="2:5">
      <c r="B8" s="256" t="s">
        <v>33</v>
      </c>
      <c r="C8" s="258" t="s">
        <v>28</v>
      </c>
      <c r="D8" s="258"/>
      <c r="E8" s="258"/>
    </row>
    <row r="9" customHeight="1" spans="2:5">
      <c r="B9" s="259"/>
      <c r="C9" s="260"/>
      <c r="D9" s="260"/>
      <c r="E9" s="269"/>
    </row>
    <row r="10" customHeight="1" spans="2:5">
      <c r="B10" s="261" t="s">
        <v>34</v>
      </c>
      <c r="C10" s="257" t="s">
        <v>35</v>
      </c>
      <c r="D10" s="257"/>
      <c r="E10" s="257"/>
    </row>
    <row r="11" customHeight="1" spans="2:5">
      <c r="B11" s="262"/>
      <c r="C11" s="263"/>
      <c r="D11" s="263"/>
      <c r="E11" s="270"/>
    </row>
    <row r="12" customHeight="1" spans="2:5">
      <c r="B12" s="261" t="s">
        <v>36</v>
      </c>
      <c r="C12" s="264" t="s">
        <v>37</v>
      </c>
      <c r="D12" s="264"/>
      <c r="E12" s="264"/>
    </row>
    <row r="13" customHeight="1" spans="2:5">
      <c r="B13" s="265"/>
      <c r="C13" s="266"/>
      <c r="D13" s="266"/>
      <c r="E13" s="266"/>
    </row>
    <row r="14" customHeight="1" spans="2:5">
      <c r="B14" s="265"/>
      <c r="C14" s="266"/>
      <c r="D14" s="266"/>
      <c r="E14" s="266"/>
    </row>
    <row r="15" customHeight="1" spans="2:5">
      <c r="B15" s="262"/>
      <c r="C15" s="263"/>
      <c r="D15" s="263"/>
      <c r="E15" s="270"/>
    </row>
    <row r="16" customHeight="1" spans="2:5">
      <c r="B16" s="261" t="s">
        <v>38</v>
      </c>
      <c r="C16" s="267"/>
      <c r="D16" s="267"/>
      <c r="E16" s="267"/>
    </row>
    <row r="17" customHeight="1" spans="2:5">
      <c r="B17" s="261"/>
      <c r="C17" s="267"/>
      <c r="D17" s="267"/>
      <c r="E17" s="267"/>
    </row>
    <row r="18" customHeight="1" spans="2:5">
      <c r="B18" s="261"/>
      <c r="C18" s="267"/>
      <c r="D18" s="268"/>
      <c r="E18" s="268"/>
    </row>
    <row r="19" customHeight="1" spans="2:5">
      <c r="B19" s="261"/>
      <c r="C19" s="267"/>
      <c r="D19" s="267"/>
      <c r="E19" s="267"/>
    </row>
    <row r="20" customHeight="1" spans="2:5">
      <c r="B20" s="261"/>
      <c r="C20" s="267"/>
      <c r="D20" s="267"/>
      <c r="E20" s="267"/>
    </row>
  </sheetData>
  <sheetProtection password="C616" sheet="1" selectLockedCells="1" selectUnlockedCells="1" objects="1" scenarios="1"/>
  <mergeCells count="18">
    <mergeCell ref="C2:E2"/>
    <mergeCell ref="C5:E5"/>
    <mergeCell ref="C6:E6"/>
    <mergeCell ref="C7:E7"/>
    <mergeCell ref="C8:E8"/>
    <mergeCell ref="B9:E9"/>
    <mergeCell ref="C10:E10"/>
    <mergeCell ref="B11:E11"/>
    <mergeCell ref="C12:E12"/>
    <mergeCell ref="C13:E13"/>
    <mergeCell ref="C14:E14"/>
    <mergeCell ref="B15:E15"/>
    <mergeCell ref="C16:E16"/>
    <mergeCell ref="C17:E17"/>
    <mergeCell ref="C18:E18"/>
    <mergeCell ref="C19:E19"/>
    <mergeCell ref="C20:E20"/>
    <mergeCell ref="B16:B20"/>
  </mergeCells>
  <pageMargins left="0.708333333333333" right="0.708333333333333" top="0.747916666666667" bottom="0.747916666666667" header="0.314583333333333" footer="0.31458333333333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>
    <pageSetUpPr autoPageBreaks="0"/>
  </sheetPr>
  <dimension ref="A1:E40"/>
  <sheetViews>
    <sheetView tabSelected="1" topLeftCell="A2" workbookViewId="0">
      <selection activeCell="B11" sqref="B11:C11"/>
    </sheetView>
  </sheetViews>
  <sheetFormatPr defaultColWidth="8.8359375" defaultRowHeight="14" outlineLevelCol="4"/>
  <cols>
    <col min="1" max="1" width="34.3359375" customWidth="1"/>
    <col min="3" max="3" width="37.6640625" customWidth="1"/>
    <col min="4" max="4" width="27.3359375" customWidth="1"/>
    <col min="5" max="5" width="31.6640625" customWidth="1"/>
    <col min="6" max="6" width="13.8359375" customWidth="1"/>
  </cols>
  <sheetData>
    <row r="1" ht="34" customHeight="1" spans="1:5">
      <c r="A1" s="190" t="s">
        <v>39</v>
      </c>
      <c r="B1" s="190"/>
      <c r="C1" s="190"/>
      <c r="D1" s="190"/>
      <c r="E1" s="238"/>
    </row>
    <row r="2" ht="30" customHeight="1" spans="1:5">
      <c r="A2" s="191" t="s">
        <v>40</v>
      </c>
      <c r="B2" s="192"/>
      <c r="C2" s="193"/>
      <c r="D2" s="194" t="s">
        <v>41</v>
      </c>
      <c r="E2" s="239"/>
    </row>
    <row r="3" ht="30" customHeight="1" spans="1:5">
      <c r="A3" s="191" t="s">
        <v>42</v>
      </c>
      <c r="B3" s="195"/>
      <c r="C3" s="196"/>
      <c r="D3" s="194" t="s">
        <v>43</v>
      </c>
      <c r="E3" s="240"/>
    </row>
    <row r="4" ht="30" customHeight="1" spans="1:5">
      <c r="A4" s="191" t="s">
        <v>44</v>
      </c>
      <c r="B4" s="192"/>
      <c r="C4" s="193"/>
      <c r="D4" s="194" t="s">
        <v>45</v>
      </c>
      <c r="E4" s="240"/>
    </row>
    <row r="5" ht="30" customHeight="1" spans="1:5">
      <c r="A5" s="191" t="s">
        <v>46</v>
      </c>
      <c r="B5" s="195"/>
      <c r="C5" s="197"/>
      <c r="D5" s="194" t="s">
        <v>47</v>
      </c>
      <c r="E5" s="240"/>
    </row>
    <row r="6" ht="30" customHeight="1" spans="1:5">
      <c r="A6" s="191" t="s">
        <v>48</v>
      </c>
      <c r="B6" s="195"/>
      <c r="C6" s="196"/>
      <c r="D6" s="194" t="s">
        <v>49</v>
      </c>
      <c r="E6" s="240"/>
    </row>
    <row r="7" ht="60" customHeight="1" spans="1:5">
      <c r="A7" s="191" t="s">
        <v>50</v>
      </c>
      <c r="B7" s="198"/>
      <c r="C7" s="199"/>
      <c r="D7" s="199"/>
      <c r="E7" s="241"/>
    </row>
    <row r="8" ht="30" customHeight="1" spans="1:5">
      <c r="A8" s="194" t="s">
        <v>51</v>
      </c>
      <c r="B8" s="200"/>
      <c r="C8" s="201"/>
      <c r="D8" s="191" t="s">
        <v>52</v>
      </c>
      <c r="E8" s="242"/>
    </row>
    <row r="9" ht="30" customHeight="1" spans="1:5">
      <c r="A9" s="194" t="s">
        <v>53</v>
      </c>
      <c r="B9" s="202"/>
      <c r="C9" s="203"/>
      <c r="D9" s="204" t="s">
        <v>54</v>
      </c>
      <c r="E9" s="243"/>
    </row>
    <row r="10" ht="76.5" customHeight="1" spans="1:5">
      <c r="A10" s="194" t="s">
        <v>55</v>
      </c>
      <c r="B10" s="205"/>
      <c r="C10" s="206"/>
      <c r="D10" s="207"/>
      <c r="E10" s="244"/>
    </row>
    <row r="11" ht="30" customHeight="1" spans="1:5">
      <c r="A11" s="191" t="s">
        <v>56</v>
      </c>
      <c r="B11" s="208"/>
      <c r="C11" s="209"/>
      <c r="D11" s="210" t="s">
        <v>57</v>
      </c>
      <c r="E11" s="245"/>
    </row>
    <row r="12" ht="30" customHeight="1" spans="1:5">
      <c r="A12" s="191" t="s">
        <v>58</v>
      </c>
      <c r="B12" s="195"/>
      <c r="C12" s="211"/>
      <c r="D12" s="194" t="s">
        <v>59</v>
      </c>
      <c r="E12" s="240"/>
    </row>
    <row r="13" ht="30" customHeight="1" spans="1:5">
      <c r="A13" s="191" t="s">
        <v>60</v>
      </c>
      <c r="B13" s="195"/>
      <c r="C13" s="211"/>
      <c r="D13" s="194" t="s">
        <v>61</v>
      </c>
      <c r="E13" s="246"/>
    </row>
    <row r="14" ht="30" customHeight="1" spans="1:5">
      <c r="A14" s="191" t="s">
        <v>62</v>
      </c>
      <c r="B14" s="212"/>
      <c r="C14" s="213"/>
      <c r="D14" s="191" t="s">
        <v>63</v>
      </c>
      <c r="E14" s="247"/>
    </row>
    <row r="15" ht="30" customHeight="1" spans="1:5">
      <c r="A15" s="194" t="s">
        <v>64</v>
      </c>
      <c r="B15" s="214"/>
      <c r="C15" s="215"/>
      <c r="D15" s="191" t="s">
        <v>65</v>
      </c>
      <c r="E15" s="247"/>
    </row>
    <row r="16" ht="30" customHeight="1" spans="1:5">
      <c r="A16" s="194" t="s">
        <v>66</v>
      </c>
      <c r="B16" s="216">
        <f>IF(B15+E15=0,0,B15/(B15+E15))</f>
        <v>0</v>
      </c>
      <c r="C16" s="217"/>
      <c r="D16" s="194" t="s">
        <v>67</v>
      </c>
      <c r="E16" s="112"/>
    </row>
    <row r="17" ht="30" customHeight="1" spans="1:5">
      <c r="A17" s="194" t="s">
        <v>68</v>
      </c>
      <c r="B17" s="218"/>
      <c r="C17" s="219"/>
      <c r="D17" s="191" t="s">
        <v>69</v>
      </c>
      <c r="E17" s="239"/>
    </row>
    <row r="18" ht="30" customHeight="1" spans="1:5">
      <c r="A18" s="191" t="s">
        <v>70</v>
      </c>
      <c r="B18" s="218"/>
      <c r="C18" s="220"/>
      <c r="D18" s="191" t="s">
        <v>71</v>
      </c>
      <c r="E18" s="248">
        <f>IF(E15-B18=0,0,B18/(E15-B18))</f>
        <v>0</v>
      </c>
    </row>
    <row r="19" ht="30" customHeight="1" spans="1:5">
      <c r="A19" s="191" t="s">
        <v>72</v>
      </c>
      <c r="B19" s="221"/>
      <c r="C19" s="222"/>
      <c r="D19" s="191" t="s">
        <v>73</v>
      </c>
      <c r="E19" s="249"/>
    </row>
    <row r="20" ht="30" customHeight="1" spans="1:5">
      <c r="A20" s="191" t="s">
        <v>74</v>
      </c>
      <c r="B20" s="223"/>
      <c r="C20" s="224"/>
      <c r="D20" s="194"/>
      <c r="E20" s="240"/>
    </row>
    <row r="21" ht="35" customHeight="1" spans="1:5">
      <c r="A21" s="190" t="s">
        <v>75</v>
      </c>
      <c r="B21" s="190"/>
      <c r="C21" s="190"/>
      <c r="D21" s="190"/>
      <c r="E21" s="250"/>
    </row>
    <row r="22" ht="30" customHeight="1" spans="1:5">
      <c r="A22" s="225" t="s">
        <v>76</v>
      </c>
      <c r="B22" s="226" t="s">
        <v>77</v>
      </c>
      <c r="C22" s="226"/>
      <c r="D22" s="227"/>
      <c r="E22" s="251"/>
    </row>
    <row r="23" ht="30" customHeight="1" spans="1:5">
      <c r="A23" s="225"/>
      <c r="B23" s="226" t="s">
        <v>78</v>
      </c>
      <c r="C23" s="226"/>
      <c r="D23" s="228"/>
      <c r="E23" s="252"/>
    </row>
    <row r="24" ht="30" customHeight="1" spans="1:5">
      <c r="A24" s="225"/>
      <c r="B24" s="226" t="s">
        <v>79</v>
      </c>
      <c r="C24" s="226"/>
      <c r="D24" s="228"/>
      <c r="E24" s="252"/>
    </row>
    <row r="25" ht="30" customHeight="1" spans="1:5">
      <c r="A25" s="225"/>
      <c r="B25" s="226" t="s">
        <v>80</v>
      </c>
      <c r="C25" s="226"/>
      <c r="D25" s="228"/>
      <c r="E25" s="252"/>
    </row>
    <row r="26" ht="30" customHeight="1" spans="1:5">
      <c r="A26" s="225"/>
      <c r="B26" s="191"/>
      <c r="C26" s="191"/>
      <c r="D26" s="229"/>
      <c r="E26" s="253"/>
    </row>
    <row r="27" ht="30" customHeight="1" spans="1:5">
      <c r="A27" s="225"/>
      <c r="B27" s="226" t="s">
        <v>81</v>
      </c>
      <c r="C27" s="226"/>
      <c r="D27" s="230">
        <f>SUM(D22,D23,D24,D25)</f>
        <v>0</v>
      </c>
      <c r="E27" s="254"/>
    </row>
    <row r="28" ht="35" customHeight="1" spans="1:5">
      <c r="A28" s="190" t="s">
        <v>82</v>
      </c>
      <c r="B28" s="190"/>
      <c r="C28" s="190"/>
      <c r="D28" s="190"/>
      <c r="E28" s="190"/>
    </row>
    <row r="29" ht="32" customHeight="1" spans="1:5">
      <c r="A29" s="225" t="s">
        <v>83</v>
      </c>
      <c r="B29" s="231"/>
      <c r="C29" s="232" t="s">
        <v>84</v>
      </c>
      <c r="D29" s="232" t="s">
        <v>85</v>
      </c>
      <c r="E29" s="232" t="s">
        <v>86</v>
      </c>
    </row>
    <row r="30" ht="30" customHeight="1" spans="1:5">
      <c r="A30" s="225"/>
      <c r="B30" s="232">
        <v>1</v>
      </c>
      <c r="C30" s="233"/>
      <c r="D30" s="234"/>
      <c r="E30" s="255"/>
    </row>
    <row r="31" ht="30" customHeight="1" spans="1:5">
      <c r="A31" s="225"/>
      <c r="B31" s="232">
        <v>2</v>
      </c>
      <c r="C31" s="233"/>
      <c r="D31" s="235"/>
      <c r="E31" s="255"/>
    </row>
    <row r="32" ht="30" customHeight="1" spans="1:5">
      <c r="A32" s="225"/>
      <c r="B32" s="232">
        <v>3</v>
      </c>
      <c r="C32" s="233"/>
      <c r="D32" s="234"/>
      <c r="E32" s="255"/>
    </row>
    <row r="33" ht="30" customHeight="1" spans="1:5">
      <c r="A33" s="225"/>
      <c r="B33" s="232">
        <v>4</v>
      </c>
      <c r="C33" s="233"/>
      <c r="D33" s="236"/>
      <c r="E33" s="255"/>
    </row>
    <row r="34" ht="30" customHeight="1" spans="1:5">
      <c r="A34" s="225"/>
      <c r="B34" s="232">
        <v>5</v>
      </c>
      <c r="C34" s="237"/>
      <c r="D34" s="235"/>
      <c r="E34" s="255"/>
    </row>
    <row r="35" ht="30" customHeight="1" spans="1:5">
      <c r="A35" s="225"/>
      <c r="B35" s="232">
        <v>6</v>
      </c>
      <c r="C35" s="237"/>
      <c r="D35" s="235"/>
      <c r="E35" s="255"/>
    </row>
    <row r="36" ht="30" customHeight="1" spans="1:5">
      <c r="A36" s="225"/>
      <c r="B36" s="232">
        <v>7</v>
      </c>
      <c r="C36" s="237"/>
      <c r="D36" s="235"/>
      <c r="E36" s="255"/>
    </row>
    <row r="37" ht="30" customHeight="1" spans="1:5">
      <c r="A37" s="225"/>
      <c r="B37" s="232">
        <v>8</v>
      </c>
      <c r="C37" s="237"/>
      <c r="D37" s="235"/>
      <c r="E37" s="255"/>
    </row>
    <row r="38" ht="30" customHeight="1" spans="1:5">
      <c r="A38" s="225"/>
      <c r="B38" s="232">
        <v>9</v>
      </c>
      <c r="C38" s="237"/>
      <c r="D38" s="235"/>
      <c r="E38" s="255"/>
    </row>
    <row r="39" ht="30" customHeight="1" spans="1:5">
      <c r="A39" s="225"/>
      <c r="B39" s="232">
        <v>10</v>
      </c>
      <c r="C39" s="237"/>
      <c r="D39" s="235"/>
      <c r="E39" s="255"/>
    </row>
    <row r="40" ht="28.5" customHeight="1"/>
  </sheetData>
  <mergeCells count="36">
    <mergeCell ref="A1:E1"/>
    <mergeCell ref="B2:C2"/>
    <mergeCell ref="B3:C3"/>
    <mergeCell ref="B4:C4"/>
    <mergeCell ref="B5:C5"/>
    <mergeCell ref="B6:C6"/>
    <mergeCell ref="B7:E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A21:E21"/>
    <mergeCell ref="B22:C22"/>
    <mergeCell ref="D22:E22"/>
    <mergeCell ref="B23:C23"/>
    <mergeCell ref="D23:E23"/>
    <mergeCell ref="B24:C24"/>
    <mergeCell ref="D24:E24"/>
    <mergeCell ref="B25:C25"/>
    <mergeCell ref="D25:E25"/>
    <mergeCell ref="B26:C26"/>
    <mergeCell ref="D26:E26"/>
    <mergeCell ref="B27:C27"/>
    <mergeCell ref="D27:E27"/>
    <mergeCell ref="A28:E28"/>
    <mergeCell ref="A22:A27"/>
    <mergeCell ref="A29:A39"/>
  </mergeCells>
  <dataValidations count="33">
    <dataValidation allowBlank="1" showInputMessage="1" showErrorMessage="1" promptTitle="提示：" prompt="应填写中文或英文，如：某某某股份有限公司" sqref="B2:C2"/>
    <dataValidation type="textLength" operator="lessThanOrEqual" allowBlank="1" showInputMessage="1" showErrorMessage="1" errorTitle="错误" error="申报企业（简称）只能填写4个以内的中文汉字或者8个以内的英文字符。" promptTitle="提示：" prompt="申报企业（简称）只能填写4个以内的中文汉字或者8个以内的英文字符。" sqref="E2">
      <formula1>8</formula1>
    </dataValidation>
    <dataValidation type="textLength" operator="lessThanOrEqual" allowBlank="1" showInputMessage="1" showErrorMessage="1" errorTitle="错误" error="申报企业曾用名请保持在100文字以内。" promptTitle="提示：" prompt="应填写中文或英文 如：某某控股，若无则无需填写。" sqref="B3:C3">
      <formula1>100</formula1>
    </dataValidation>
    <dataValidation type="list" allowBlank="1" showInputMessage="1" showErrorMessage="1" sqref="E3">
      <formula1>CompType</formula1>
    </dataValidation>
    <dataValidation allowBlank="1" showInputMessage="1" showErrorMessage="1" errorTitle="错误" error="统一社会信用代码必须是18位英文或者数字。" promptTitle="提示：" prompt="18位英文或者数字，应填写正确代码格式 如：91110000802100433B&#10;※境外企业代码填写格式为“国家或地区代码缩写+企业代码”" sqref="B4:C4"/>
    <dataValidation type="list" allowBlank="1" showInputMessage="1" showErrorMessage="1" sqref="E4 B9:C9 E8:E9">
      <formula1>数据字典!$C$2:$C$3</formula1>
    </dataValidation>
    <dataValidation type="list" allowBlank="1" showInputMessage="1" showErrorMessage="1" sqref="B5:C5">
      <formula1>一级行业_zjh</formula1>
    </dataValidation>
    <dataValidation type="list" allowBlank="1" showInputMessage="1" showErrorMessage="1" sqref="E5">
      <formula1>INDIRECT(数据字典!A61)</formula1>
    </dataValidation>
    <dataValidation type="list" allowBlank="1" showInputMessage="1" showErrorMessage="1" sqref="B6:C6">
      <formula1>一级行业名称_sw</formula1>
    </dataValidation>
    <dataValidation type="list" allowBlank="1" showInputMessage="1" showErrorMessage="1" sqref="E6">
      <formula1>INDIRECT(数据字典!A63)</formula1>
    </dataValidation>
    <dataValidation type="textLength" operator="lessThanOrEqual" allowBlank="1" showInputMessage="1" showErrorMessage="1" errorTitle="错误" error="主营业务最大输入内容不超过500文字。" promptTitle="提示：" prompt="应规范填写主营业务 如：书写工具、学生文具及办公文具等产品制造" sqref="B7:E7">
      <formula1>500</formula1>
    </dataValidation>
    <dataValidation type="date" operator="between" allowBlank="1" showInputMessage="1" showErrorMessage="1" errorTitle="错误" error="日期格式错误！请按日期格式输入。" promptTitle="提示：" prompt="应填写日期格式 如：2015/3/22" sqref="B8:C8">
      <formula1>1</formula1>
      <formula2>2958465</formula2>
    </dataValidation>
    <dataValidation type="list" allowBlank="1" showInputMessage="1" showErrorMessage="1" sqref="B11:C11">
      <formula1>省</formula1>
    </dataValidation>
    <dataValidation type="list" allowBlank="1" showInputMessage="1" showErrorMessage="1" sqref="E11">
      <formula1>INDIRECT(B11)</formula1>
    </dataValidation>
    <dataValidation type="list" allowBlank="1" showInputMessage="1" showErrorMessage="1" sqref="B12:C12">
      <formula1>地方证监局</formula1>
    </dataValidation>
    <dataValidation type="textLength" operator="lessThanOrEqual" allowBlank="1" showInputMessage="1" showErrorMessage="1" errorTitle="错误：" error="法人代表输入文字最大长度不超过50。" promptTitle="提示：" prompt="应填写中文或英文 如：张三或Marry" sqref="E12">
      <formula1>50</formula1>
    </dataValidation>
    <dataValidation type="textLength" operator="lessThanOrEqual" allowBlank="1" showInputMessage="1" showErrorMessage="1" errorTitle="错误:" error="实际控制人长度不超过100文字！" promptTitle="提示：" prompt="应填写中文或英文，人名间用“,(半角)”隔开 如陈湖文,陈湖雄" sqref="B13:C13">
      <formula1>100</formula1>
    </dataValidation>
    <dataValidation type="decimal" operator="between" allowBlank="1" showInputMessage="1" showErrorMessage="1" errorTitle="错误：" error="请填写介于0~100%之间百分数！并保留两位小数 如：45.12%" promptTitle="提示：" prompt="应填写介于0~100%之间百分数，并保留两位小数 如：45.12%" sqref="E13 D30:D39">
      <formula1>0</formula1>
      <formula2>1</formula2>
    </dataValidation>
    <dataValidation type="date" operator="between" allowBlank="1" showInputMessage="1" showErrorMessage="1" errorTitle="错误" error="日期格式错误！请按正确格式输入日期。" promptTitle="提示" prompt="应填写第n个季度的最后一天，日期格式  如：2020/3/31" sqref="B14:C14">
      <formula1>32874</formula1>
      <formula2>2958465</formula2>
    </dataValidation>
    <dataValidation type="list" allowBlank="1" showInputMessage="1" showErrorMessage="1" sqref="E14">
      <formula1>accountRule</formula1>
    </dataValidation>
    <dataValidation type="decimal" operator="between" allowBlank="1" showInputMessage="1" showErrorMessage="1" errorTitle="错误" error="请输入整数位不超过10位、小数位不超过4位的非负数！" promptTitle="提示" prompt="应填写数字，并保留四位小数 如：5000.1234" sqref="B15:C15">
      <formula1>0</formula1>
      <formula2>9999999999.9999</formula2>
    </dataValidation>
    <dataValidation allowBlank="1" showInputMessage="1" showErrorMessage="1" promptTitle="提示:" prompt="自动计算，请勿手动输入。" sqref="B16:C16"/>
    <dataValidation type="decimal" operator="between" allowBlank="1" showInputMessage="1" showErrorMessage="1" errorTitle="错误：" error="请输入整数位不超过10位、小数位不超过4位的非负数！" promptTitle="提示：" prompt="应填写数字，并保留四位小数 如：5000.1234" sqref="B17:C17 E15:E16">
      <formula1>0</formula1>
      <formula2>9999999999.9999</formula2>
    </dataValidation>
    <dataValidation allowBlank="1" showInputMessage="1" showErrorMessage="1" errorTitle="错误：" error="发行人在审计报告基准日前十二个月内不存在增资情形的，填“无”，其他情况应填写日期格式，如2020/03/20,以工商变更完成为准。" promptTitle="提示：" prompt="发行人在审计报告基准日前十二个月内不存在增资情形的，填“无”，其他情况应填写日期格式，如2020/03/20,以工商变更完成为准。" sqref="E17"/>
    <dataValidation type="decimal" operator="between" allowBlank="1" showInputMessage="1" showErrorMessage="1" errorTitle="错误：" error="发行人在审计报告基准日前十二个月内不存在增资情形的，填“0”，其他情况应填写实际数字，并保留4位小数，以工商变更完成为准。" promptTitle="提示：" prompt="发行人在审计报告基准日前十二个月内不存在增资情形的，填“0”，其他情况应填写实际数字，并保留4位小数，以工商变更完成为准。" sqref="B18:C18">
      <formula1>-9999999999.9999</formula1>
      <formula2>9999999999.9999</formula2>
    </dataValidation>
    <dataValidation allowBlank="1" showInputMessage="1" showErrorMessage="1" promptTitle="提示：" prompt="自动计算，请勿手动输入。" sqref="E18"/>
    <dataValidation type="decimal" operator="between" allowBlank="1" showInputMessage="1" showErrorMessage="1" errorTitle="错误" error="请输入整数位不超过6位、小数位不超过4位的非负数!" promptTitle="提示：" prompt="应填写数字，并保留四位小数 如：5000.1234" sqref="B19 C19">
      <formula1>0</formula1>
      <formula2>999999.9999</formula2>
    </dataValidation>
    <dataValidation type="list" allowBlank="1" showInputMessage="1" showErrorMessage="1" sqref="E19">
      <formula1>listingStandards</formula1>
    </dataValidation>
    <dataValidation type="decimal" operator="between" allowBlank="1" showInputMessage="1" showErrorMessage="1" errorTitle="错误" error="请输入整数位不超过10位、小数位不超过4位的非负数字！" promptTitle="提示：" prompt="应填非负数字，并保留四位小数 如：5000.1234" sqref="B20:C20">
      <formula1>0</formula1>
      <formula2>9999999999.9999</formula2>
    </dataValidation>
    <dataValidation allowBlank="1" showInputMessage="1" showErrorMessage="1" promptTitle="提示：" prompt="比例为自动计算，不可手动输入！" sqref="D27:E27"/>
    <dataValidation allowBlank="1" showInputMessage="1" showErrorMessage="1" promptTitle="提示：" prompt="应填写中文或英文 如：某某控股（集团）有限公司" sqref="C30:C39"/>
    <dataValidation type="list" allowBlank="1" showInputMessage="1" showErrorMessage="1" sqref="E30:E39">
      <formula1>StockArchitecture</formula1>
    </dataValidation>
    <dataValidation type="decimal" operator="between" allowBlank="1" showInputMessage="1" showErrorMessage="1" errorTitle="错误：" error="请输入整数位不超过10位、小数位不超过4位的非负数字！" promptTitle="提示：" prompt="应填非负数字，并保留四位小数 如：5000.1234" sqref="D22:E25">
      <formula1>0</formula1>
      <formula2>9999999999.9999</formula2>
    </dataValidation>
  </dataValidations>
  <pageMargins left="0.708333333333333" right="0.708333333333333" top="0.747916666666667" bottom="0.747916666666667" header="0.314583333333333" footer="0.314583333333333"/>
  <pageSetup paperSize="9" orientation="portrait"/>
  <headerFooter>
    <oddHeader>&amp;C&amp;"-,加粗"&amp;12&amp;KFF0000内部使用&amp;R&amp;9 &amp;11   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Check Box 1" r:id="rId3">
              <controlPr defaultSize="0">
                <anchor moveWithCells="1">
                  <from>
                    <xdr:col>1</xdr:col>
                    <xdr:colOff>495300</xdr:colOff>
                    <xdr:row>9</xdr:row>
                    <xdr:rowOff>50800</xdr:rowOff>
                  </from>
                  <to>
                    <xdr:col>2</xdr:col>
                    <xdr:colOff>914400</xdr:colOff>
                    <xdr:row>9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Check Box 2" r:id="rId4">
              <controlPr defaultSize="0">
                <anchor moveWithCells="1">
                  <from>
                    <xdr:col>1</xdr:col>
                    <xdr:colOff>495300</xdr:colOff>
                    <xdr:row>9</xdr:row>
                    <xdr:rowOff>355600</xdr:rowOff>
                  </from>
                  <to>
                    <xdr:col>2</xdr:col>
                    <xdr:colOff>1016000</xdr:colOff>
                    <xdr:row>9</xdr:row>
                    <xdr:rowOff>635000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Check Box 5" r:id="rId5">
              <controlPr defaultSize="0">
                <anchor moveWithCells="1">
                  <from>
                    <xdr:col>1</xdr:col>
                    <xdr:colOff>495300</xdr:colOff>
                    <xdr:row>9</xdr:row>
                    <xdr:rowOff>635000</xdr:rowOff>
                  </from>
                  <to>
                    <xdr:col>2</xdr:col>
                    <xdr:colOff>901700</xdr:colOff>
                    <xdr:row>9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G569"/>
  <sheetViews>
    <sheetView topLeftCell="A21" workbookViewId="0">
      <selection activeCell="C40" sqref="C40"/>
    </sheetView>
  </sheetViews>
  <sheetFormatPr defaultColWidth="8.8359375" defaultRowHeight="14" outlineLevelCol="6"/>
  <cols>
    <col min="1" max="1" width="30.1640625" customWidth="1"/>
    <col min="2" max="2" width="23.5" customWidth="1"/>
    <col min="3" max="3" width="26.5" customWidth="1"/>
    <col min="4" max="4" width="24" customWidth="1"/>
    <col min="5" max="5" width="26" customWidth="1"/>
    <col min="6" max="6" width="27.8359375" customWidth="1"/>
    <col min="7" max="7" width="23" style="81" customWidth="1"/>
  </cols>
  <sheetData>
    <row r="1" ht="27.75" customHeight="1" spans="1:7">
      <c r="A1" s="146" t="s">
        <v>87</v>
      </c>
      <c r="B1" s="147"/>
      <c r="C1" s="147"/>
      <c r="D1" s="147"/>
      <c r="E1" s="175"/>
      <c r="F1" s="175"/>
      <c r="G1" s="176"/>
    </row>
    <row r="2" ht="17.25" customHeight="1" spans="1:7">
      <c r="A2" s="148" t="s">
        <v>88</v>
      </c>
      <c r="B2" s="149"/>
      <c r="C2" s="150"/>
      <c r="D2" s="151"/>
      <c r="E2" s="148" t="s">
        <v>89</v>
      </c>
      <c r="F2" s="177"/>
      <c r="G2" s="178"/>
    </row>
    <row r="3" ht="17.25" customHeight="1" spans="1:7">
      <c r="A3" s="148" t="s">
        <v>90</v>
      </c>
      <c r="B3" s="152"/>
      <c r="C3" s="153"/>
      <c r="D3" s="153"/>
      <c r="E3" s="148" t="s">
        <v>91</v>
      </c>
      <c r="F3" s="152"/>
      <c r="G3" s="153"/>
    </row>
    <row r="4" ht="17.25" customHeight="1" spans="1:7">
      <c r="A4" s="148" t="s">
        <v>92</v>
      </c>
      <c r="B4" s="148" t="s">
        <v>93</v>
      </c>
      <c r="C4" s="148" t="s">
        <v>94</v>
      </c>
      <c r="D4" s="148" t="s">
        <v>95</v>
      </c>
      <c r="E4" s="148" t="s">
        <v>96</v>
      </c>
      <c r="F4" s="148" t="s">
        <v>97</v>
      </c>
      <c r="G4" s="148" t="s">
        <v>98</v>
      </c>
    </row>
    <row r="5" ht="17.25" customHeight="1" spans="1:7">
      <c r="A5" s="148" t="s">
        <v>99</v>
      </c>
      <c r="B5" s="154"/>
      <c r="C5" s="154"/>
      <c r="D5" s="154"/>
      <c r="E5" s="154"/>
      <c r="F5" s="154"/>
      <c r="G5" s="154"/>
    </row>
    <row r="6" ht="17.25" customHeight="1" spans="1:7">
      <c r="A6" s="148" t="s">
        <v>100</v>
      </c>
      <c r="B6" s="154"/>
      <c r="C6" s="154"/>
      <c r="D6" s="154"/>
      <c r="E6" s="154"/>
      <c r="F6" s="154"/>
      <c r="G6" s="154"/>
    </row>
    <row r="7" ht="17.25" customHeight="1" spans="1:7">
      <c r="A7" s="148" t="s">
        <v>101</v>
      </c>
      <c r="B7" s="154"/>
      <c r="C7" s="154"/>
      <c r="D7" s="154"/>
      <c r="E7" s="154"/>
      <c r="F7" s="154"/>
      <c r="G7" s="154"/>
    </row>
    <row r="8" ht="17.25" customHeight="1" spans="1:7">
      <c r="A8" s="148" t="s">
        <v>102</v>
      </c>
      <c r="B8" s="154"/>
      <c r="C8" s="154"/>
      <c r="D8" s="154"/>
      <c r="E8" s="154"/>
      <c r="F8" s="154"/>
      <c r="G8" s="154"/>
    </row>
    <row r="9" ht="27.75" customHeight="1" spans="1:7">
      <c r="A9" s="155" t="s">
        <v>103</v>
      </c>
      <c r="B9" s="156"/>
      <c r="C9" s="157"/>
      <c r="D9" s="157"/>
      <c r="E9" s="179"/>
      <c r="F9" s="179"/>
      <c r="G9" s="180"/>
    </row>
    <row r="10" ht="17.25" customHeight="1" spans="1:7">
      <c r="A10" s="158" t="s">
        <v>104</v>
      </c>
      <c r="B10" s="159"/>
      <c r="C10" s="160"/>
      <c r="D10" s="161"/>
      <c r="E10" s="148" t="s">
        <v>44</v>
      </c>
      <c r="F10" s="159"/>
      <c r="G10" s="161"/>
    </row>
    <row r="11" ht="17.25" customHeight="1" spans="1:7">
      <c r="A11" s="162" t="s">
        <v>92</v>
      </c>
      <c r="B11" s="148" t="s">
        <v>93</v>
      </c>
      <c r="C11" s="148" t="s">
        <v>94</v>
      </c>
      <c r="D11" s="148" t="s">
        <v>95</v>
      </c>
      <c r="E11" s="148" t="s">
        <v>96</v>
      </c>
      <c r="F11" s="148" t="s">
        <v>97</v>
      </c>
      <c r="G11" s="148" t="s">
        <v>98</v>
      </c>
    </row>
    <row r="12" ht="17.25" customHeight="1" spans="1:7">
      <c r="A12" s="162" t="s">
        <v>105</v>
      </c>
      <c r="B12" s="154"/>
      <c r="C12" s="154"/>
      <c r="D12" s="163"/>
      <c r="E12" s="154"/>
      <c r="F12" s="154"/>
      <c r="G12" s="154"/>
    </row>
    <row r="13" ht="17.25" customHeight="1" spans="1:7">
      <c r="A13" s="162" t="s">
        <v>106</v>
      </c>
      <c r="B13" s="154"/>
      <c r="C13" s="154"/>
      <c r="D13" s="154"/>
      <c r="E13" s="154"/>
      <c r="F13" s="154"/>
      <c r="G13" s="154"/>
    </row>
    <row r="14" ht="17.25" customHeight="1" spans="1:7">
      <c r="A14" s="162" t="s">
        <v>107</v>
      </c>
      <c r="B14" s="154"/>
      <c r="C14" s="154"/>
      <c r="D14" s="163"/>
      <c r="E14" s="154"/>
      <c r="F14" s="154"/>
      <c r="G14" s="154"/>
    </row>
    <row r="15" ht="17.25" customHeight="1" spans="1:7">
      <c r="A15" s="162" t="s">
        <v>108</v>
      </c>
      <c r="B15" s="154"/>
      <c r="C15" s="154"/>
      <c r="D15" s="154"/>
      <c r="E15" s="163"/>
      <c r="F15" s="154"/>
      <c r="G15" s="154"/>
    </row>
    <row r="16" ht="17.25" customHeight="1" spans="1:7">
      <c r="A16" s="164" t="s">
        <v>109</v>
      </c>
      <c r="B16" s="159"/>
      <c r="C16" s="160"/>
      <c r="D16" s="161"/>
      <c r="E16" s="148" t="s">
        <v>110</v>
      </c>
      <c r="F16" s="181"/>
      <c r="G16" s="182"/>
    </row>
    <row r="17" ht="17.25" customHeight="1" spans="1:7">
      <c r="A17" s="162" t="s">
        <v>92</v>
      </c>
      <c r="B17" s="148" t="s">
        <v>93</v>
      </c>
      <c r="C17" s="148" t="s">
        <v>94</v>
      </c>
      <c r="D17" s="148" t="s">
        <v>95</v>
      </c>
      <c r="E17" s="183" t="s">
        <v>96</v>
      </c>
      <c r="F17" s="183" t="s">
        <v>97</v>
      </c>
      <c r="G17" s="183" t="s">
        <v>98</v>
      </c>
    </row>
    <row r="18" ht="17.25" customHeight="1" spans="1:7">
      <c r="A18" s="162" t="s">
        <v>111</v>
      </c>
      <c r="B18" s="154"/>
      <c r="C18" s="154"/>
      <c r="D18" s="163"/>
      <c r="E18" s="154"/>
      <c r="F18" s="154"/>
      <c r="G18" s="154"/>
    </row>
    <row r="19" ht="17.25" customHeight="1" spans="1:7">
      <c r="A19" s="162" t="s">
        <v>112</v>
      </c>
      <c r="B19" s="154"/>
      <c r="C19" s="154"/>
      <c r="D19" s="163"/>
      <c r="E19" s="154"/>
      <c r="F19" s="154"/>
      <c r="G19" s="154"/>
    </row>
    <row r="20" ht="17.25" customHeight="1" spans="1:7">
      <c r="A20" s="162" t="s">
        <v>113</v>
      </c>
      <c r="B20" s="154"/>
      <c r="C20" s="154"/>
      <c r="D20" s="163"/>
      <c r="E20" s="154"/>
      <c r="F20" s="154"/>
      <c r="G20" s="154"/>
    </row>
    <row r="21" ht="17.25" customHeight="1" spans="1:7">
      <c r="A21" s="162" t="s">
        <v>108</v>
      </c>
      <c r="B21" s="154"/>
      <c r="C21" s="154"/>
      <c r="D21" s="154"/>
      <c r="E21" s="163"/>
      <c r="F21" s="154"/>
      <c r="G21" s="154"/>
    </row>
    <row r="22" ht="17.25" customHeight="1" spans="1:7">
      <c r="A22" s="162" t="s">
        <v>114</v>
      </c>
      <c r="B22" s="159"/>
      <c r="C22" s="160"/>
      <c r="D22" s="161"/>
      <c r="E22" s="148" t="s">
        <v>110</v>
      </c>
      <c r="F22" s="181"/>
      <c r="G22" s="182"/>
    </row>
    <row r="23" ht="17.25" customHeight="1" spans="1:7">
      <c r="A23" s="162" t="s">
        <v>92</v>
      </c>
      <c r="B23" s="148" t="s">
        <v>93</v>
      </c>
      <c r="C23" s="148" t="s">
        <v>94</v>
      </c>
      <c r="D23" s="148" t="s">
        <v>95</v>
      </c>
      <c r="E23" s="148" t="s">
        <v>96</v>
      </c>
      <c r="F23" s="148" t="s">
        <v>97</v>
      </c>
      <c r="G23" s="148" t="s">
        <v>98</v>
      </c>
    </row>
    <row r="24" ht="17.25" customHeight="1" spans="1:7">
      <c r="A24" s="162" t="s">
        <v>111</v>
      </c>
      <c r="B24" s="154"/>
      <c r="C24" s="154"/>
      <c r="D24" s="163"/>
      <c r="E24" s="154"/>
      <c r="F24" s="184"/>
      <c r="G24" s="154"/>
    </row>
    <row r="25" ht="17.25" customHeight="1" spans="1:7">
      <c r="A25" s="162" t="s">
        <v>112</v>
      </c>
      <c r="B25" s="154"/>
      <c r="C25" s="154"/>
      <c r="D25" s="163"/>
      <c r="E25" s="154"/>
      <c r="F25" s="154"/>
      <c r="G25" s="154"/>
    </row>
    <row r="26" ht="17.25" customHeight="1" spans="1:7">
      <c r="A26" s="162" t="s">
        <v>113</v>
      </c>
      <c r="B26" s="154"/>
      <c r="C26" s="154"/>
      <c r="D26" s="163"/>
      <c r="E26" s="154"/>
      <c r="F26" s="154"/>
      <c r="G26" s="154"/>
    </row>
    <row r="27" ht="17.25" customHeight="1" spans="1:7">
      <c r="A27" s="162" t="s">
        <v>108</v>
      </c>
      <c r="B27" s="154"/>
      <c r="C27" s="154"/>
      <c r="D27" s="154"/>
      <c r="E27" s="163"/>
      <c r="F27" s="154"/>
      <c r="G27" s="154"/>
    </row>
    <row r="28" ht="27.75" customHeight="1" spans="1:7">
      <c r="A28" s="155" t="s">
        <v>115</v>
      </c>
      <c r="B28" s="165"/>
      <c r="C28" s="165"/>
      <c r="D28" s="165"/>
      <c r="E28" s="185"/>
      <c r="F28" s="185"/>
      <c r="G28" s="186"/>
    </row>
    <row r="29" ht="17.25" customHeight="1" spans="1:7">
      <c r="A29" s="162" t="s">
        <v>116</v>
      </c>
      <c r="B29" s="159"/>
      <c r="C29" s="160"/>
      <c r="D29" s="161"/>
      <c r="E29" s="148" t="s">
        <v>110</v>
      </c>
      <c r="F29" s="159"/>
      <c r="G29" s="161"/>
    </row>
    <row r="30" ht="17.25" customHeight="1" spans="1:7">
      <c r="A30" s="162" t="s">
        <v>92</v>
      </c>
      <c r="B30" s="148" t="s">
        <v>93</v>
      </c>
      <c r="C30" s="148" t="s">
        <v>94</v>
      </c>
      <c r="D30" s="148" t="s">
        <v>95</v>
      </c>
      <c r="E30" s="148" t="s">
        <v>96</v>
      </c>
      <c r="F30" s="148" t="s">
        <v>97</v>
      </c>
      <c r="G30" s="148" t="s">
        <v>98</v>
      </c>
    </row>
    <row r="31" ht="17.25" customHeight="1" spans="1:7">
      <c r="A31" s="162" t="s">
        <v>117</v>
      </c>
      <c r="B31" s="166"/>
      <c r="C31" s="166"/>
      <c r="D31" s="166"/>
      <c r="E31" s="166"/>
      <c r="F31" s="154"/>
      <c r="G31" s="166"/>
    </row>
    <row r="32" ht="17.25" customHeight="1" spans="1:7">
      <c r="A32" s="162" t="s">
        <v>118</v>
      </c>
      <c r="B32" s="154"/>
      <c r="C32" s="166"/>
      <c r="D32" s="166"/>
      <c r="E32" s="166"/>
      <c r="F32" s="154"/>
      <c r="G32" s="166"/>
    </row>
    <row r="33" ht="17.25" customHeight="1" spans="1:7">
      <c r="A33" s="162" t="s">
        <v>119</v>
      </c>
      <c r="B33" s="154"/>
      <c r="C33" s="154"/>
      <c r="D33" s="154"/>
      <c r="E33" s="166"/>
      <c r="F33" s="154"/>
      <c r="G33" s="154"/>
    </row>
    <row r="34" ht="17.25" customHeight="1" spans="1:7">
      <c r="A34" s="162" t="s">
        <v>120</v>
      </c>
      <c r="B34" s="154"/>
      <c r="C34" s="154"/>
      <c r="D34" s="154"/>
      <c r="E34" s="166"/>
      <c r="F34" s="154"/>
      <c r="G34" s="154"/>
    </row>
    <row r="35" ht="27.75" customHeight="1" spans="1:7">
      <c r="A35" s="167" t="s">
        <v>121</v>
      </c>
      <c r="B35" s="168"/>
      <c r="C35" s="168"/>
      <c r="D35" s="168"/>
      <c r="E35" s="168"/>
      <c r="F35" s="168"/>
      <c r="G35" s="187"/>
    </row>
    <row r="36" ht="17.25" customHeight="1" spans="1:7">
      <c r="A36" s="169" t="s">
        <v>122</v>
      </c>
      <c r="B36" s="159"/>
      <c r="C36" s="160"/>
      <c r="D36" s="161"/>
      <c r="E36" s="148" t="s">
        <v>110</v>
      </c>
      <c r="F36" s="159"/>
      <c r="G36" s="161"/>
    </row>
    <row r="37" ht="17.25" customHeight="1" spans="1:7">
      <c r="A37" s="162" t="s">
        <v>92</v>
      </c>
      <c r="B37" s="148" t="s">
        <v>93</v>
      </c>
      <c r="C37" s="148" t="s">
        <v>94</v>
      </c>
      <c r="D37" s="148" t="s">
        <v>95</v>
      </c>
      <c r="E37" s="148" t="s">
        <v>96</v>
      </c>
      <c r="F37" s="148" t="s">
        <v>97</v>
      </c>
      <c r="G37" s="148" t="s">
        <v>98</v>
      </c>
    </row>
    <row r="38" ht="17.25" customHeight="1" spans="1:7">
      <c r="A38" s="162" t="s">
        <v>123</v>
      </c>
      <c r="B38" s="170"/>
      <c r="C38" s="170"/>
      <c r="D38" s="170"/>
      <c r="E38" s="170"/>
      <c r="F38" s="170"/>
      <c r="G38" s="188"/>
    </row>
    <row r="39" ht="17.25" customHeight="1" spans="1:7">
      <c r="A39" s="171" t="s">
        <v>124</v>
      </c>
      <c r="B39" s="170"/>
      <c r="C39" s="166"/>
      <c r="D39" s="166"/>
      <c r="E39" s="166"/>
      <c r="F39" s="154"/>
      <c r="G39" s="166"/>
    </row>
    <row r="40" ht="17.25" customHeight="1" spans="1:7">
      <c r="A40" s="171" t="s">
        <v>125</v>
      </c>
      <c r="B40" s="170"/>
      <c r="C40" s="166"/>
      <c r="D40" s="166"/>
      <c r="E40" s="166"/>
      <c r="F40" s="154"/>
      <c r="G40" s="166"/>
    </row>
    <row r="41" ht="17.25" customHeight="1" spans="1:7">
      <c r="A41" s="164" t="s">
        <v>126</v>
      </c>
      <c r="B41" s="172"/>
      <c r="C41" s="172"/>
      <c r="D41" s="173"/>
      <c r="E41" s="173"/>
      <c r="F41" s="172"/>
      <c r="G41" s="170"/>
    </row>
    <row r="42" ht="27.75" customHeight="1" spans="1:7">
      <c r="A42" s="167" t="s">
        <v>127</v>
      </c>
      <c r="B42" s="168"/>
      <c r="C42" s="168"/>
      <c r="D42" s="168"/>
      <c r="E42" s="168"/>
      <c r="F42" s="168"/>
      <c r="G42" s="187"/>
    </row>
    <row r="43" ht="17.25" customHeight="1" spans="1:7">
      <c r="A43" s="169" t="s">
        <v>128</v>
      </c>
      <c r="B43" s="159"/>
      <c r="C43" s="160"/>
      <c r="D43" s="161"/>
      <c r="E43" s="148" t="s">
        <v>110</v>
      </c>
      <c r="F43" s="181"/>
      <c r="G43" s="182"/>
    </row>
    <row r="44" ht="17.25" customHeight="1" spans="1:7">
      <c r="A44" s="162" t="s">
        <v>92</v>
      </c>
      <c r="B44" s="148" t="s">
        <v>93</v>
      </c>
      <c r="C44" s="148" t="s">
        <v>94</v>
      </c>
      <c r="D44" s="148" t="s">
        <v>95</v>
      </c>
      <c r="E44" s="148" t="s">
        <v>96</v>
      </c>
      <c r="F44" s="148" t="s">
        <v>97</v>
      </c>
      <c r="G44" s="148" t="s">
        <v>98</v>
      </c>
    </row>
    <row r="45" ht="17.25" customHeight="1" spans="1:7">
      <c r="A45" s="162" t="s">
        <v>129</v>
      </c>
      <c r="B45" s="170"/>
      <c r="C45" s="166"/>
      <c r="D45" s="166"/>
      <c r="E45" s="166"/>
      <c r="F45" s="154"/>
      <c r="G45" s="166"/>
    </row>
    <row r="46" ht="17.25" customHeight="1" spans="1:7">
      <c r="A46" s="162" t="s">
        <v>130</v>
      </c>
      <c r="B46" s="170"/>
      <c r="C46" s="166"/>
      <c r="D46" s="166"/>
      <c r="E46" s="166"/>
      <c r="F46" s="154"/>
      <c r="G46" s="166"/>
    </row>
    <row r="47" ht="17.25" customHeight="1" spans="1:7">
      <c r="A47" s="162" t="s">
        <v>131</v>
      </c>
      <c r="B47" s="170"/>
      <c r="C47" s="166"/>
      <c r="D47" s="166"/>
      <c r="E47" s="166"/>
      <c r="F47" s="154"/>
      <c r="G47" s="166"/>
    </row>
    <row r="48" ht="17.25" customHeight="1" spans="1:7">
      <c r="A48" s="162" t="s">
        <v>132</v>
      </c>
      <c r="B48" s="170"/>
      <c r="C48" s="166"/>
      <c r="D48" s="166"/>
      <c r="E48" s="166"/>
      <c r="F48" s="154"/>
      <c r="G48" s="166"/>
    </row>
    <row r="49" ht="17.25" customHeight="1" spans="1:7">
      <c r="A49" s="162" t="s">
        <v>133</v>
      </c>
      <c r="B49" s="159"/>
      <c r="C49" s="160"/>
      <c r="D49" s="161"/>
      <c r="E49" s="148" t="s">
        <v>110</v>
      </c>
      <c r="F49" s="159"/>
      <c r="G49" s="161"/>
    </row>
    <row r="50" ht="17.25" customHeight="1" spans="1:7">
      <c r="A50" s="162" t="s">
        <v>92</v>
      </c>
      <c r="B50" s="148" t="s">
        <v>93</v>
      </c>
      <c r="C50" s="148" t="s">
        <v>94</v>
      </c>
      <c r="D50" s="148" t="s">
        <v>95</v>
      </c>
      <c r="E50" s="148" t="s">
        <v>96</v>
      </c>
      <c r="F50" s="148" t="s">
        <v>97</v>
      </c>
      <c r="G50" s="148" t="s">
        <v>98</v>
      </c>
    </row>
    <row r="51" ht="17.25" customHeight="1" spans="1:7">
      <c r="A51" s="162" t="s">
        <v>129</v>
      </c>
      <c r="B51" s="170"/>
      <c r="C51" s="166"/>
      <c r="D51" s="166"/>
      <c r="E51" s="166"/>
      <c r="F51" s="154"/>
      <c r="G51" s="166"/>
    </row>
    <row r="52" ht="17.25" customHeight="1" spans="1:7">
      <c r="A52" s="162" t="s">
        <v>130</v>
      </c>
      <c r="B52" s="170"/>
      <c r="C52" s="166"/>
      <c r="D52" s="166"/>
      <c r="E52" s="166"/>
      <c r="F52" s="154"/>
      <c r="G52" s="166"/>
    </row>
    <row r="53" ht="17.25" customHeight="1" spans="1:7">
      <c r="A53" s="162" t="s">
        <v>131</v>
      </c>
      <c r="B53" s="170"/>
      <c r="C53" s="170"/>
      <c r="D53" s="170"/>
      <c r="E53" s="170"/>
      <c r="F53" s="154"/>
      <c r="G53" s="189"/>
    </row>
    <row r="54" ht="17.25" customHeight="1" spans="1:7">
      <c r="A54" s="162" t="s">
        <v>132</v>
      </c>
      <c r="B54" s="170"/>
      <c r="C54" s="170"/>
      <c r="D54" s="170"/>
      <c r="E54" s="170"/>
      <c r="F54" s="154"/>
      <c r="G54" s="189"/>
    </row>
    <row r="55" spans="1:7">
      <c r="A55" s="5"/>
      <c r="B55" s="174"/>
      <c r="C55" s="174"/>
      <c r="D55" s="174"/>
      <c r="E55" s="174"/>
      <c r="F55" s="174"/>
      <c r="G55" s="174"/>
    </row>
    <row r="56" spans="7:7">
      <c r="G56" s="74"/>
    </row>
    <row r="57" spans="7:7">
      <c r="G57" s="74"/>
    </row>
    <row r="58" spans="7:7">
      <c r="G58" s="74"/>
    </row>
    <row r="59" spans="7:7">
      <c r="G59" s="74"/>
    </row>
    <row r="60" spans="7:7">
      <c r="G60" s="74"/>
    </row>
    <row r="61" spans="7:7">
      <c r="G61" s="74"/>
    </row>
    <row r="62" spans="7:7">
      <c r="G62" s="74"/>
    </row>
    <row r="63" spans="7:7">
      <c r="G63" s="74"/>
    </row>
    <row r="64" spans="7:7">
      <c r="G64" s="74"/>
    </row>
    <row r="65" spans="7:7">
      <c r="G65" s="74"/>
    </row>
    <row r="66" spans="7:7">
      <c r="G66" s="74"/>
    </row>
    <row r="67" spans="7:7">
      <c r="G67" s="74"/>
    </row>
    <row r="68" spans="7:7">
      <c r="G68" s="74"/>
    </row>
    <row r="69" spans="7:7">
      <c r="G69" s="74"/>
    </row>
    <row r="70" spans="7:7">
      <c r="G70" s="74"/>
    </row>
    <row r="71" spans="7:7">
      <c r="G71" s="74"/>
    </row>
    <row r="72" spans="7:7">
      <c r="G72" s="74"/>
    </row>
    <row r="73" spans="7:7">
      <c r="G73" s="74"/>
    </row>
    <row r="74" spans="7:7">
      <c r="G74" s="74"/>
    </row>
    <row r="75" spans="7:7">
      <c r="G75" s="74"/>
    </row>
    <row r="76" spans="7:7">
      <c r="G76" s="74"/>
    </row>
    <row r="77" spans="7:7">
      <c r="G77" s="74"/>
    </row>
    <row r="78" spans="7:7">
      <c r="G78" s="74"/>
    </row>
    <row r="79" spans="7:7">
      <c r="G79" s="74"/>
    </row>
    <row r="80" spans="7:7">
      <c r="G80" s="74"/>
    </row>
    <row r="81" spans="7:7">
      <c r="G81" s="74"/>
    </row>
    <row r="82" spans="7:7">
      <c r="G82" s="74"/>
    </row>
    <row r="83" spans="7:7">
      <c r="G83" s="74"/>
    </row>
    <row r="84" spans="7:7">
      <c r="G84" s="74"/>
    </row>
    <row r="85" spans="7:7">
      <c r="G85" s="74"/>
    </row>
    <row r="86" spans="7:7">
      <c r="G86" s="74"/>
    </row>
    <row r="87" spans="7:7">
      <c r="G87" s="74"/>
    </row>
    <row r="88" spans="7:7">
      <c r="G88" s="74"/>
    </row>
    <row r="89" spans="7:7">
      <c r="G89" s="74"/>
    </row>
    <row r="90" spans="7:7">
      <c r="G90" s="74"/>
    </row>
    <row r="91" spans="7:7">
      <c r="G91" s="74"/>
    </row>
    <row r="92" spans="7:7">
      <c r="G92" s="74"/>
    </row>
    <row r="93" spans="7:7">
      <c r="G93" s="74"/>
    </row>
    <row r="94" spans="7:7">
      <c r="G94" s="74"/>
    </row>
    <row r="95" spans="7:7">
      <c r="G95" s="74"/>
    </row>
    <row r="96" spans="7:7">
      <c r="G96" s="74"/>
    </row>
    <row r="97" spans="7:7">
      <c r="G97" s="74"/>
    </row>
    <row r="98" spans="7:7">
      <c r="G98" s="74"/>
    </row>
    <row r="99" spans="7:7">
      <c r="G99" s="74"/>
    </row>
    <row r="100" spans="7:7">
      <c r="G100" s="74"/>
    </row>
    <row r="101" spans="7:7">
      <c r="G101" s="74"/>
    </row>
    <row r="102" spans="7:7">
      <c r="G102" s="74"/>
    </row>
    <row r="103" spans="7:7">
      <c r="G103" s="74"/>
    </row>
    <row r="104" spans="7:7">
      <c r="G104" s="74"/>
    </row>
    <row r="105" spans="7:7">
      <c r="G105" s="74"/>
    </row>
    <row r="106" spans="7:7">
      <c r="G106" s="74"/>
    </row>
    <row r="107" spans="7:7">
      <c r="G107" s="74"/>
    </row>
    <row r="108" spans="7:7">
      <c r="G108" s="74"/>
    </row>
    <row r="109" spans="7:7">
      <c r="G109" s="74"/>
    </row>
    <row r="110" spans="7:7">
      <c r="G110" s="74"/>
    </row>
    <row r="111" spans="7:7">
      <c r="G111" s="74"/>
    </row>
    <row r="112" spans="7:7">
      <c r="G112" s="74"/>
    </row>
    <row r="113" spans="7:7">
      <c r="G113" s="74"/>
    </row>
    <row r="114" spans="7:7">
      <c r="G114" s="74"/>
    </row>
    <row r="115" spans="7:7">
      <c r="G115" s="74"/>
    </row>
    <row r="116" spans="7:7">
      <c r="G116" s="74"/>
    </row>
    <row r="117" spans="7:7">
      <c r="G117" s="74"/>
    </row>
    <row r="118" spans="7:7">
      <c r="G118" s="74"/>
    </row>
    <row r="119" spans="7:7">
      <c r="G119" s="74"/>
    </row>
    <row r="120" spans="7:7">
      <c r="G120" s="74"/>
    </row>
    <row r="121" spans="7:7">
      <c r="G121" s="74"/>
    </row>
    <row r="122" spans="7:7">
      <c r="G122" s="74"/>
    </row>
    <row r="123" spans="7:7">
      <c r="G123" s="74"/>
    </row>
    <row r="124" spans="7:7">
      <c r="G124" s="74"/>
    </row>
    <row r="125" spans="7:7">
      <c r="G125" s="74"/>
    </row>
    <row r="126" spans="7:7">
      <c r="G126" s="74"/>
    </row>
    <row r="127" spans="7:7">
      <c r="G127" s="74"/>
    </row>
    <row r="128" spans="7:7">
      <c r="G128" s="74"/>
    </row>
    <row r="129" spans="7:7">
      <c r="G129" s="74"/>
    </row>
    <row r="130" spans="7:7">
      <c r="G130" s="74"/>
    </row>
    <row r="131" spans="7:7">
      <c r="G131" s="74"/>
    </row>
    <row r="132" spans="7:7">
      <c r="G132" s="74"/>
    </row>
    <row r="133" spans="7:7">
      <c r="G133" s="74"/>
    </row>
    <row r="134" spans="7:7">
      <c r="G134" s="74"/>
    </row>
    <row r="135" spans="7:7">
      <c r="G135" s="74"/>
    </row>
    <row r="136" spans="7:7">
      <c r="G136" s="74"/>
    </row>
    <row r="137" spans="7:7">
      <c r="G137" s="74"/>
    </row>
    <row r="138" spans="7:7">
      <c r="G138" s="74"/>
    </row>
    <row r="139" spans="7:7">
      <c r="G139" s="74"/>
    </row>
    <row r="140" spans="7:7">
      <c r="G140" s="74"/>
    </row>
    <row r="141" spans="7:7">
      <c r="G141" s="74"/>
    </row>
    <row r="142" spans="7:7">
      <c r="G142" s="74"/>
    </row>
    <row r="143" spans="7:7">
      <c r="G143" s="74"/>
    </row>
    <row r="144" spans="7:7">
      <c r="G144" s="74"/>
    </row>
    <row r="145" spans="7:7">
      <c r="G145" s="74"/>
    </row>
    <row r="146" spans="7:7">
      <c r="G146" s="74"/>
    </row>
    <row r="147" spans="7:7">
      <c r="G147" s="74"/>
    </row>
    <row r="148" spans="7:7">
      <c r="G148" s="74"/>
    </row>
    <row r="149" spans="7:7">
      <c r="G149" s="74"/>
    </row>
    <row r="150" spans="7:7">
      <c r="G150" s="74"/>
    </row>
    <row r="151" spans="7:7">
      <c r="G151" s="74"/>
    </row>
    <row r="152" spans="7:7">
      <c r="G152" s="74"/>
    </row>
    <row r="153" spans="7:7">
      <c r="G153" s="74"/>
    </row>
    <row r="154" spans="7:7">
      <c r="G154" s="74"/>
    </row>
    <row r="155" spans="7:7">
      <c r="G155" s="74"/>
    </row>
    <row r="156" spans="7:7">
      <c r="G156" s="74"/>
    </row>
    <row r="157" spans="7:7">
      <c r="G157" s="74"/>
    </row>
    <row r="158" spans="7:7">
      <c r="G158" s="74"/>
    </row>
    <row r="159" spans="7:7">
      <c r="G159" s="74"/>
    </row>
    <row r="160" spans="7:7">
      <c r="G160" s="74"/>
    </row>
    <row r="161" spans="7:7">
      <c r="G161" s="74"/>
    </row>
    <row r="162" spans="7:7">
      <c r="G162" s="74"/>
    </row>
    <row r="163" spans="7:7">
      <c r="G163" s="74"/>
    </row>
    <row r="164" spans="7:7">
      <c r="G164" s="74"/>
    </row>
    <row r="165" spans="7:7">
      <c r="G165" s="74"/>
    </row>
    <row r="166" spans="7:7">
      <c r="G166" s="74"/>
    </row>
    <row r="167" spans="7:7">
      <c r="G167" s="74"/>
    </row>
    <row r="168" spans="7:7">
      <c r="G168" s="74"/>
    </row>
    <row r="169" spans="7:7">
      <c r="G169" s="74"/>
    </row>
    <row r="170" spans="7:7">
      <c r="G170" s="74"/>
    </row>
    <row r="171" spans="7:7">
      <c r="G171" s="74"/>
    </row>
    <row r="172" spans="7:7">
      <c r="G172" s="74"/>
    </row>
    <row r="173" spans="7:7">
      <c r="G173" s="74"/>
    </row>
    <row r="174" spans="7:7">
      <c r="G174" s="74"/>
    </row>
    <row r="175" spans="7:7">
      <c r="G175" s="74"/>
    </row>
    <row r="176" spans="7:7">
      <c r="G176" s="74"/>
    </row>
    <row r="177" spans="7:7">
      <c r="G177" s="74"/>
    </row>
    <row r="178" spans="7:7">
      <c r="G178" s="74"/>
    </row>
    <row r="179" spans="7:7">
      <c r="G179" s="74"/>
    </row>
    <row r="180" spans="7:7">
      <c r="G180" s="74"/>
    </row>
    <row r="181" spans="7:7">
      <c r="G181" s="74"/>
    </row>
    <row r="182" spans="7:7">
      <c r="G182" s="74"/>
    </row>
    <row r="183" spans="7:7">
      <c r="G183" s="74"/>
    </row>
    <row r="184" spans="7:7">
      <c r="G184" s="74"/>
    </row>
    <row r="185" spans="7:7">
      <c r="G185" s="74"/>
    </row>
    <row r="186" spans="7:7">
      <c r="G186" s="74"/>
    </row>
    <row r="187" spans="7:7">
      <c r="G187" s="74"/>
    </row>
    <row r="188" spans="7:7">
      <c r="G188" s="74"/>
    </row>
    <row r="189" spans="7:7">
      <c r="G189" s="74"/>
    </row>
    <row r="190" spans="7:7">
      <c r="G190" s="74"/>
    </row>
    <row r="191" spans="7:7">
      <c r="G191" s="74"/>
    </row>
    <row r="192" spans="7:7">
      <c r="G192" s="74"/>
    </row>
    <row r="193" spans="7:7">
      <c r="G193" s="74"/>
    </row>
    <row r="194" spans="7:7">
      <c r="G194" s="74"/>
    </row>
    <row r="195" spans="7:7">
      <c r="G195" s="74"/>
    </row>
    <row r="196" spans="7:7">
      <c r="G196" s="74"/>
    </row>
    <row r="197" spans="7:7">
      <c r="G197" s="74"/>
    </row>
    <row r="198" spans="7:7">
      <c r="G198" s="74"/>
    </row>
    <row r="199" spans="7:7">
      <c r="G199" s="74"/>
    </row>
    <row r="200" spans="7:7">
      <c r="G200" s="74"/>
    </row>
    <row r="201" spans="7:7">
      <c r="G201" s="74"/>
    </row>
    <row r="202" spans="7:7">
      <c r="G202" s="74"/>
    </row>
    <row r="203" spans="7:7">
      <c r="G203" s="74"/>
    </row>
    <row r="204" spans="7:7">
      <c r="G204" s="74"/>
    </row>
    <row r="205" spans="7:7">
      <c r="G205" s="74"/>
    </row>
    <row r="206" spans="7:7">
      <c r="G206" s="74"/>
    </row>
    <row r="207" spans="7:7">
      <c r="G207" s="74"/>
    </row>
    <row r="208" spans="7:7">
      <c r="G208" s="74"/>
    </row>
    <row r="209" spans="7:7">
      <c r="G209" s="74"/>
    </row>
    <row r="210" spans="7:7">
      <c r="G210" s="74"/>
    </row>
    <row r="211" spans="7:7">
      <c r="G211" s="74"/>
    </row>
    <row r="212" spans="7:7">
      <c r="G212" s="74"/>
    </row>
    <row r="213" spans="7:7">
      <c r="G213" s="74"/>
    </row>
    <row r="214" spans="7:7">
      <c r="G214" s="74"/>
    </row>
    <row r="215" spans="7:7">
      <c r="G215" s="74"/>
    </row>
    <row r="216" spans="7:7">
      <c r="G216" s="74"/>
    </row>
    <row r="217" spans="7:7">
      <c r="G217" s="74"/>
    </row>
    <row r="218" spans="7:7">
      <c r="G218" s="74"/>
    </row>
    <row r="219" spans="7:7">
      <c r="G219" s="74"/>
    </row>
    <row r="220" spans="7:7">
      <c r="G220" s="74"/>
    </row>
    <row r="221" spans="7:7">
      <c r="G221" s="74"/>
    </row>
    <row r="222" spans="7:7">
      <c r="G222" s="74"/>
    </row>
    <row r="223" spans="7:7">
      <c r="G223" s="74"/>
    </row>
    <row r="224" spans="7:7">
      <c r="G224" s="74"/>
    </row>
    <row r="225" spans="7:7">
      <c r="G225" s="74"/>
    </row>
    <row r="226" spans="7:7">
      <c r="G226" s="74"/>
    </row>
    <row r="227" spans="7:7">
      <c r="G227" s="74"/>
    </row>
    <row r="228" spans="7:7">
      <c r="G228" s="74"/>
    </row>
    <row r="229" spans="7:7">
      <c r="G229" s="74"/>
    </row>
    <row r="230" spans="7:7">
      <c r="G230" s="74"/>
    </row>
    <row r="231" spans="7:7">
      <c r="G231" s="74"/>
    </row>
    <row r="232" spans="7:7">
      <c r="G232" s="74"/>
    </row>
    <row r="233" spans="7:7">
      <c r="G233" s="74"/>
    </row>
    <row r="234" spans="7:7">
      <c r="G234" s="74"/>
    </row>
    <row r="235" spans="7:7">
      <c r="G235" s="74"/>
    </row>
    <row r="236" spans="7:7">
      <c r="G236" s="74"/>
    </row>
    <row r="237" spans="7:7">
      <c r="G237" s="74"/>
    </row>
    <row r="238" spans="7:7">
      <c r="G238" s="74"/>
    </row>
    <row r="239" spans="7:7">
      <c r="G239" s="74"/>
    </row>
    <row r="240" spans="7:7">
      <c r="G240" s="74"/>
    </row>
    <row r="241" spans="7:7">
      <c r="G241" s="74"/>
    </row>
    <row r="242" spans="7:7">
      <c r="G242" s="74"/>
    </row>
    <row r="243" spans="7:7">
      <c r="G243" s="74"/>
    </row>
    <row r="244" spans="7:7">
      <c r="G244" s="74"/>
    </row>
    <row r="245" spans="7:7">
      <c r="G245" s="74"/>
    </row>
    <row r="246" spans="7:7">
      <c r="G246" s="74"/>
    </row>
    <row r="247" spans="7:7">
      <c r="G247" s="74"/>
    </row>
    <row r="248" spans="7:7">
      <c r="G248" s="74"/>
    </row>
    <row r="249" spans="7:7">
      <c r="G249" s="74"/>
    </row>
    <row r="250" spans="7:7">
      <c r="G250" s="74"/>
    </row>
    <row r="251" spans="7:7">
      <c r="G251" s="74"/>
    </row>
    <row r="252" spans="7:7">
      <c r="G252" s="74"/>
    </row>
    <row r="253" spans="7:7">
      <c r="G253" s="74"/>
    </row>
    <row r="254" spans="7:7">
      <c r="G254" s="74"/>
    </row>
    <row r="255" spans="7:7">
      <c r="G255" s="74"/>
    </row>
    <row r="256" spans="7:7">
      <c r="G256" s="74"/>
    </row>
    <row r="257" spans="7:7">
      <c r="G257" s="74"/>
    </row>
    <row r="258" spans="7:7">
      <c r="G258" s="74"/>
    </row>
    <row r="259" spans="7:7">
      <c r="G259" s="74"/>
    </row>
    <row r="260" spans="7:7">
      <c r="G260" s="74"/>
    </row>
    <row r="261" spans="7:7">
      <c r="G261" s="74"/>
    </row>
    <row r="262" spans="7:7">
      <c r="G262" s="74"/>
    </row>
    <row r="263" spans="7:7">
      <c r="G263" s="74"/>
    </row>
    <row r="264" spans="7:7">
      <c r="G264" s="74"/>
    </row>
    <row r="265" spans="7:7">
      <c r="G265" s="74"/>
    </row>
    <row r="266" spans="7:7">
      <c r="G266" s="74"/>
    </row>
    <row r="267" spans="7:7">
      <c r="G267" s="74"/>
    </row>
    <row r="268" spans="7:7">
      <c r="G268" s="74"/>
    </row>
    <row r="269" spans="7:7">
      <c r="G269" s="74"/>
    </row>
    <row r="270" spans="7:7">
      <c r="G270" s="74"/>
    </row>
    <row r="271" spans="7:7">
      <c r="G271" s="74"/>
    </row>
    <row r="272" spans="7:7">
      <c r="G272" s="74"/>
    </row>
    <row r="273" spans="7:7">
      <c r="G273" s="74"/>
    </row>
    <row r="274" spans="7:7">
      <c r="G274" s="74"/>
    </row>
    <row r="275" spans="7:7">
      <c r="G275" s="74"/>
    </row>
    <row r="276" spans="7:7">
      <c r="G276" s="74"/>
    </row>
    <row r="277" spans="7:7">
      <c r="G277" s="74"/>
    </row>
    <row r="278" spans="7:7">
      <c r="G278" s="74"/>
    </row>
    <row r="279" spans="7:7">
      <c r="G279" s="74"/>
    </row>
    <row r="280" spans="7:7">
      <c r="G280" s="74"/>
    </row>
    <row r="281" spans="7:7">
      <c r="G281" s="74"/>
    </row>
    <row r="282" spans="7:7">
      <c r="G282" s="74"/>
    </row>
    <row r="283" spans="7:7">
      <c r="G283" s="74"/>
    </row>
    <row r="284" spans="7:7">
      <c r="G284" s="74"/>
    </row>
    <row r="285" spans="7:7">
      <c r="G285" s="74"/>
    </row>
    <row r="286" spans="7:7">
      <c r="G286" s="74"/>
    </row>
    <row r="287" spans="7:7">
      <c r="G287" s="74"/>
    </row>
    <row r="288" spans="7:7">
      <c r="G288" s="74"/>
    </row>
    <row r="289" spans="7:7">
      <c r="G289" s="74"/>
    </row>
    <row r="290" spans="7:7">
      <c r="G290" s="74"/>
    </row>
    <row r="291" spans="7:7">
      <c r="G291" s="74"/>
    </row>
    <row r="292" spans="7:7">
      <c r="G292" s="74"/>
    </row>
    <row r="293" spans="7:7">
      <c r="G293" s="74"/>
    </row>
    <row r="294" spans="7:7">
      <c r="G294" s="74"/>
    </row>
    <row r="295" spans="7:7">
      <c r="G295" s="74"/>
    </row>
    <row r="296" spans="7:7">
      <c r="G296" s="74"/>
    </row>
    <row r="297" spans="7:7">
      <c r="G297" s="74"/>
    </row>
    <row r="298" spans="7:7">
      <c r="G298" s="74"/>
    </row>
    <row r="299" spans="7:7">
      <c r="G299" s="74"/>
    </row>
    <row r="300" spans="7:7">
      <c r="G300" s="74"/>
    </row>
    <row r="301" spans="7:7">
      <c r="G301" s="74"/>
    </row>
    <row r="302" spans="7:7">
      <c r="G302" s="74"/>
    </row>
    <row r="303" spans="7:7">
      <c r="G303" s="74"/>
    </row>
    <row r="304" spans="7:7">
      <c r="G304" s="74"/>
    </row>
    <row r="305" spans="7:7">
      <c r="G305" s="74"/>
    </row>
    <row r="306" spans="7:7">
      <c r="G306" s="74"/>
    </row>
    <row r="307" spans="7:7">
      <c r="G307" s="74"/>
    </row>
    <row r="308" spans="7:7">
      <c r="G308" s="74"/>
    </row>
    <row r="309" spans="7:7">
      <c r="G309" s="74"/>
    </row>
    <row r="310" spans="7:7">
      <c r="G310" s="74"/>
    </row>
    <row r="311" spans="7:7">
      <c r="G311" s="74"/>
    </row>
    <row r="312" spans="7:7">
      <c r="G312" s="74"/>
    </row>
    <row r="313" spans="7:7">
      <c r="G313" s="74"/>
    </row>
    <row r="314" spans="7:7">
      <c r="G314" s="74"/>
    </row>
    <row r="315" spans="7:7">
      <c r="G315" s="74"/>
    </row>
    <row r="316" spans="7:7">
      <c r="G316" s="74"/>
    </row>
    <row r="317" spans="7:7">
      <c r="G317" s="74"/>
    </row>
    <row r="318" spans="7:7">
      <c r="G318" s="74"/>
    </row>
    <row r="319" spans="7:7">
      <c r="G319" s="74"/>
    </row>
    <row r="320" spans="7:7">
      <c r="G320" s="74"/>
    </row>
    <row r="321" spans="7:7">
      <c r="G321" s="74"/>
    </row>
    <row r="322" spans="7:7">
      <c r="G322" s="74"/>
    </row>
    <row r="323" spans="7:7">
      <c r="G323" s="74"/>
    </row>
    <row r="324" spans="7:7">
      <c r="G324" s="74"/>
    </row>
    <row r="325" spans="7:7">
      <c r="G325" s="74"/>
    </row>
    <row r="326" spans="7:7">
      <c r="G326" s="74"/>
    </row>
    <row r="327" spans="7:7">
      <c r="G327" s="74"/>
    </row>
    <row r="328" spans="7:7">
      <c r="G328" s="74"/>
    </row>
    <row r="329" spans="7:7">
      <c r="G329" s="74"/>
    </row>
    <row r="330" spans="7:7">
      <c r="G330" s="74"/>
    </row>
    <row r="331" spans="7:7">
      <c r="G331" s="74"/>
    </row>
    <row r="332" spans="7:7">
      <c r="G332" s="74"/>
    </row>
    <row r="333" spans="7:7">
      <c r="G333" s="74"/>
    </row>
    <row r="334" spans="7:7">
      <c r="G334" s="74"/>
    </row>
    <row r="335" spans="7:7">
      <c r="G335" s="74"/>
    </row>
    <row r="336" spans="7:7">
      <c r="G336" s="74"/>
    </row>
    <row r="337" spans="7:7">
      <c r="G337" s="74"/>
    </row>
    <row r="338" spans="7:7">
      <c r="G338" s="74"/>
    </row>
    <row r="339" spans="7:7">
      <c r="G339" s="74"/>
    </row>
    <row r="340" spans="7:7">
      <c r="G340" s="74"/>
    </row>
    <row r="341" spans="7:7">
      <c r="G341" s="74"/>
    </row>
    <row r="342" spans="7:7">
      <c r="G342" s="74"/>
    </row>
    <row r="343" spans="7:7">
      <c r="G343" s="74"/>
    </row>
    <row r="344" spans="7:7">
      <c r="G344" s="74"/>
    </row>
    <row r="345" spans="7:7">
      <c r="G345" s="74"/>
    </row>
    <row r="346" spans="7:7">
      <c r="G346" s="74"/>
    </row>
    <row r="347" spans="7:7">
      <c r="G347" s="74"/>
    </row>
    <row r="348" spans="7:7">
      <c r="G348" s="74"/>
    </row>
    <row r="349" spans="7:7">
      <c r="G349" s="74"/>
    </row>
    <row r="350" spans="7:7">
      <c r="G350" s="74"/>
    </row>
    <row r="351" spans="7:7">
      <c r="G351" s="74"/>
    </row>
    <row r="352" spans="7:7">
      <c r="G352" s="74"/>
    </row>
    <row r="353" spans="7:7">
      <c r="G353" s="74"/>
    </row>
    <row r="354" spans="7:7">
      <c r="G354" s="74"/>
    </row>
    <row r="355" spans="7:7">
      <c r="G355" s="74"/>
    </row>
    <row r="356" spans="7:7">
      <c r="G356" s="74"/>
    </row>
    <row r="357" spans="7:7">
      <c r="G357" s="74"/>
    </row>
    <row r="358" spans="7:7">
      <c r="G358" s="74"/>
    </row>
    <row r="359" spans="7:7">
      <c r="G359" s="74"/>
    </row>
    <row r="360" spans="7:7">
      <c r="G360" s="74"/>
    </row>
    <row r="361" spans="7:7">
      <c r="G361" s="74"/>
    </row>
    <row r="362" spans="7:7">
      <c r="G362" s="74"/>
    </row>
    <row r="363" spans="7:7">
      <c r="G363" s="74"/>
    </row>
    <row r="364" spans="7:7">
      <c r="G364" s="74"/>
    </row>
    <row r="365" spans="7:7">
      <c r="G365" s="74"/>
    </row>
    <row r="366" spans="7:7">
      <c r="G366" s="74"/>
    </row>
    <row r="367" spans="7:7">
      <c r="G367" s="74"/>
    </row>
    <row r="368" spans="7:7">
      <c r="G368" s="74"/>
    </row>
    <row r="369" spans="7:7">
      <c r="G369" s="74"/>
    </row>
    <row r="370" spans="7:7">
      <c r="G370" s="74"/>
    </row>
    <row r="371" spans="7:7">
      <c r="G371" s="74"/>
    </row>
    <row r="372" spans="7:7">
      <c r="G372" s="74"/>
    </row>
    <row r="373" spans="7:7">
      <c r="G373" s="74"/>
    </row>
    <row r="374" spans="7:7">
      <c r="G374" s="74"/>
    </row>
    <row r="375" spans="7:7">
      <c r="G375" s="74"/>
    </row>
    <row r="376" spans="7:7">
      <c r="G376" s="74"/>
    </row>
    <row r="377" spans="7:7">
      <c r="G377" s="74"/>
    </row>
    <row r="378" spans="7:7">
      <c r="G378" s="74"/>
    </row>
    <row r="379" spans="7:7">
      <c r="G379" s="74"/>
    </row>
    <row r="380" spans="7:7">
      <c r="G380" s="74"/>
    </row>
    <row r="381" spans="7:7">
      <c r="G381" s="74"/>
    </row>
    <row r="382" spans="7:7">
      <c r="G382" s="74"/>
    </row>
    <row r="383" spans="7:7">
      <c r="G383" s="74"/>
    </row>
    <row r="384" spans="7:7">
      <c r="G384" s="74"/>
    </row>
    <row r="385" spans="7:7">
      <c r="G385" s="74"/>
    </row>
    <row r="386" spans="7:7">
      <c r="G386" s="74"/>
    </row>
    <row r="387" spans="7:7">
      <c r="G387" s="74"/>
    </row>
    <row r="388" spans="7:7">
      <c r="G388" s="74"/>
    </row>
    <row r="389" spans="7:7">
      <c r="G389" s="74"/>
    </row>
    <row r="390" spans="7:7">
      <c r="G390" s="74"/>
    </row>
    <row r="391" spans="7:7">
      <c r="G391" s="74"/>
    </row>
    <row r="392" spans="7:7">
      <c r="G392" s="74"/>
    </row>
    <row r="393" spans="7:7">
      <c r="G393" s="74"/>
    </row>
    <row r="394" spans="7:7">
      <c r="G394" s="74"/>
    </row>
    <row r="395" spans="7:7">
      <c r="G395" s="74"/>
    </row>
    <row r="396" spans="7:7">
      <c r="G396" s="74"/>
    </row>
    <row r="397" spans="7:7">
      <c r="G397" s="74"/>
    </row>
    <row r="398" spans="7:7">
      <c r="G398" s="74"/>
    </row>
    <row r="399" spans="7:7">
      <c r="G399" s="74"/>
    </row>
    <row r="400" spans="7:7">
      <c r="G400" s="74"/>
    </row>
    <row r="401" spans="7:7">
      <c r="G401" s="74"/>
    </row>
    <row r="402" spans="7:7">
      <c r="G402" s="74"/>
    </row>
    <row r="403" spans="7:7">
      <c r="G403" s="74"/>
    </row>
    <row r="404" spans="7:7">
      <c r="G404" s="74"/>
    </row>
    <row r="405" spans="7:7">
      <c r="G405" s="74"/>
    </row>
    <row r="406" spans="7:7">
      <c r="G406" s="74"/>
    </row>
    <row r="407" spans="7:7">
      <c r="G407" s="74"/>
    </row>
    <row r="408" spans="7:7">
      <c r="G408" s="74"/>
    </row>
    <row r="409" spans="7:7">
      <c r="G409" s="74"/>
    </row>
    <row r="410" spans="7:7">
      <c r="G410" s="74"/>
    </row>
    <row r="411" spans="7:7">
      <c r="G411" s="74"/>
    </row>
    <row r="412" spans="7:7">
      <c r="G412" s="74"/>
    </row>
    <row r="413" spans="7:7">
      <c r="G413" s="74"/>
    </row>
    <row r="414" spans="7:7">
      <c r="G414" s="74"/>
    </row>
    <row r="415" spans="7:7">
      <c r="G415" s="74"/>
    </row>
    <row r="416" spans="7:7">
      <c r="G416" s="74"/>
    </row>
    <row r="417" spans="7:7">
      <c r="G417" s="74"/>
    </row>
    <row r="418" spans="7:7">
      <c r="G418" s="74"/>
    </row>
    <row r="419" spans="7:7">
      <c r="G419" s="74"/>
    </row>
    <row r="420" spans="7:7">
      <c r="G420" s="74"/>
    </row>
    <row r="421" spans="7:7">
      <c r="G421" s="74"/>
    </row>
    <row r="422" spans="7:7">
      <c r="G422" s="74"/>
    </row>
    <row r="423" spans="7:7">
      <c r="G423" s="74"/>
    </row>
    <row r="424" spans="7:7">
      <c r="G424" s="74"/>
    </row>
    <row r="425" spans="7:7">
      <c r="G425" s="74"/>
    </row>
    <row r="426" spans="7:7">
      <c r="G426" s="74"/>
    </row>
    <row r="427" spans="7:7">
      <c r="G427" s="74"/>
    </row>
    <row r="428" spans="7:7">
      <c r="G428" s="74"/>
    </row>
    <row r="429" spans="7:7">
      <c r="G429" s="74"/>
    </row>
    <row r="430" spans="7:7">
      <c r="G430" s="74"/>
    </row>
    <row r="431" spans="7:7">
      <c r="G431" s="74"/>
    </row>
    <row r="432" spans="7:7">
      <c r="G432" s="74"/>
    </row>
    <row r="433" spans="7:7">
      <c r="G433" s="74"/>
    </row>
    <row r="434" spans="7:7">
      <c r="G434" s="74"/>
    </row>
    <row r="435" spans="7:7">
      <c r="G435" s="74"/>
    </row>
    <row r="436" spans="7:7">
      <c r="G436" s="74"/>
    </row>
    <row r="437" spans="7:7">
      <c r="G437" s="74"/>
    </row>
    <row r="438" spans="7:7">
      <c r="G438" s="74"/>
    </row>
    <row r="439" spans="7:7">
      <c r="G439" s="74"/>
    </row>
    <row r="440" spans="7:7">
      <c r="G440" s="74"/>
    </row>
    <row r="441" spans="7:7">
      <c r="G441" s="74"/>
    </row>
    <row r="442" spans="7:7">
      <c r="G442" s="74"/>
    </row>
    <row r="443" spans="7:7">
      <c r="G443" s="74"/>
    </row>
    <row r="444" spans="7:7">
      <c r="G444" s="74"/>
    </row>
    <row r="445" spans="7:7">
      <c r="G445" s="74"/>
    </row>
    <row r="446" spans="7:7">
      <c r="G446" s="74"/>
    </row>
    <row r="447" spans="7:7">
      <c r="G447" s="74"/>
    </row>
    <row r="448" spans="7:7">
      <c r="G448" s="74"/>
    </row>
    <row r="449" spans="7:7">
      <c r="G449" s="74"/>
    </row>
    <row r="450" spans="7:7">
      <c r="G450" s="74"/>
    </row>
    <row r="451" spans="7:7">
      <c r="G451" s="74"/>
    </row>
    <row r="452" spans="7:7">
      <c r="G452" s="74"/>
    </row>
    <row r="453" spans="7:7">
      <c r="G453" s="74"/>
    </row>
    <row r="454" spans="7:7">
      <c r="G454" s="74"/>
    </row>
    <row r="455" spans="7:7">
      <c r="G455" s="74"/>
    </row>
    <row r="456" spans="7:7">
      <c r="G456" s="74"/>
    </row>
    <row r="457" spans="7:7">
      <c r="G457" s="74"/>
    </row>
    <row r="458" spans="7:7">
      <c r="G458" s="74"/>
    </row>
    <row r="459" spans="7:7">
      <c r="G459" s="74"/>
    </row>
    <row r="460" spans="7:7">
      <c r="G460" s="74"/>
    </row>
    <row r="461" spans="7:7">
      <c r="G461" s="74"/>
    </row>
    <row r="462" spans="7:7">
      <c r="G462" s="74"/>
    </row>
    <row r="463" spans="7:7">
      <c r="G463" s="74"/>
    </row>
    <row r="464" spans="7:7">
      <c r="G464" s="74"/>
    </row>
    <row r="465" spans="7:7">
      <c r="G465" s="74"/>
    </row>
    <row r="466" spans="7:7">
      <c r="G466" s="74"/>
    </row>
    <row r="467" spans="7:7">
      <c r="G467" s="74"/>
    </row>
    <row r="468" spans="7:7">
      <c r="G468" s="74"/>
    </row>
    <row r="469" spans="7:7">
      <c r="G469" s="74"/>
    </row>
    <row r="470" spans="7:7">
      <c r="G470" s="74"/>
    </row>
    <row r="471" spans="7:7">
      <c r="G471" s="74"/>
    </row>
    <row r="472" spans="7:7">
      <c r="G472" s="74"/>
    </row>
    <row r="473" spans="7:7">
      <c r="G473" s="74"/>
    </row>
    <row r="474" spans="7:7">
      <c r="G474" s="74"/>
    </row>
    <row r="475" spans="7:7">
      <c r="G475" s="74"/>
    </row>
    <row r="476" spans="7:7">
      <c r="G476" s="74"/>
    </row>
    <row r="477" spans="7:7">
      <c r="G477" s="74"/>
    </row>
    <row r="478" spans="7:7">
      <c r="G478" s="74"/>
    </row>
    <row r="479" spans="7:7">
      <c r="G479" s="74"/>
    </row>
    <row r="480" spans="7:7">
      <c r="G480" s="74"/>
    </row>
    <row r="481" spans="7:7">
      <c r="G481" s="74"/>
    </row>
    <row r="482" spans="7:7">
      <c r="G482" s="74"/>
    </row>
    <row r="483" spans="7:7">
      <c r="G483" s="74"/>
    </row>
    <row r="484" spans="7:7">
      <c r="G484" s="74"/>
    </row>
    <row r="485" spans="7:7">
      <c r="G485" s="74"/>
    </row>
    <row r="486" spans="7:7">
      <c r="G486" s="74"/>
    </row>
    <row r="487" spans="7:7">
      <c r="G487" s="74"/>
    </row>
    <row r="488" spans="7:7">
      <c r="G488" s="74"/>
    </row>
    <row r="489" spans="7:7">
      <c r="G489" s="74"/>
    </row>
    <row r="490" spans="7:7">
      <c r="G490" s="74"/>
    </row>
    <row r="491" spans="7:7">
      <c r="G491" s="74"/>
    </row>
    <row r="492" spans="7:7">
      <c r="G492" s="74"/>
    </row>
    <row r="493" spans="7:7">
      <c r="G493" s="74"/>
    </row>
    <row r="494" spans="7:7">
      <c r="G494" s="74"/>
    </row>
    <row r="495" spans="7:7">
      <c r="G495" s="74"/>
    </row>
    <row r="496" spans="7:7">
      <c r="G496" s="74"/>
    </row>
    <row r="497" spans="7:7">
      <c r="G497" s="74"/>
    </row>
    <row r="498" spans="7:7">
      <c r="G498" s="74"/>
    </row>
    <row r="499" spans="7:7">
      <c r="G499" s="74"/>
    </row>
    <row r="500" spans="7:7">
      <c r="G500" s="74"/>
    </row>
    <row r="501" spans="7:7">
      <c r="G501" s="74"/>
    </row>
    <row r="502" spans="7:7">
      <c r="G502" s="74"/>
    </row>
    <row r="503" spans="7:7">
      <c r="G503" s="74"/>
    </row>
    <row r="504" spans="7:7">
      <c r="G504" s="74"/>
    </row>
    <row r="505" spans="7:7">
      <c r="G505" s="74"/>
    </row>
    <row r="506" spans="7:7">
      <c r="G506" s="74"/>
    </row>
    <row r="507" spans="7:7">
      <c r="G507" s="74"/>
    </row>
    <row r="508" spans="7:7">
      <c r="G508" s="74"/>
    </row>
    <row r="509" spans="7:7">
      <c r="G509" s="74"/>
    </row>
    <row r="510" spans="7:7">
      <c r="G510" s="74"/>
    </row>
    <row r="511" spans="7:7">
      <c r="G511" s="74"/>
    </row>
    <row r="512" spans="7:7">
      <c r="G512" s="74"/>
    </row>
    <row r="513" spans="7:7">
      <c r="G513" s="74"/>
    </row>
    <row r="514" spans="7:7">
      <c r="G514" s="74"/>
    </row>
    <row r="515" spans="7:7">
      <c r="G515" s="74"/>
    </row>
    <row r="516" spans="7:7">
      <c r="G516" s="74"/>
    </row>
    <row r="517" spans="7:7">
      <c r="G517" s="74"/>
    </row>
    <row r="518" spans="7:7">
      <c r="G518" s="74"/>
    </row>
    <row r="519" spans="7:7">
      <c r="G519" s="74"/>
    </row>
    <row r="520" spans="7:7">
      <c r="G520" s="74"/>
    </row>
    <row r="521" spans="7:7">
      <c r="G521" s="74"/>
    </row>
    <row r="522" spans="7:7">
      <c r="G522" s="74"/>
    </row>
    <row r="523" spans="7:7">
      <c r="G523" s="74"/>
    </row>
    <row r="524" spans="7:7">
      <c r="G524" s="74"/>
    </row>
    <row r="525" spans="7:7">
      <c r="G525" s="74"/>
    </row>
    <row r="526" spans="7:7">
      <c r="G526" s="74"/>
    </row>
    <row r="527" spans="7:7">
      <c r="G527" s="74"/>
    </row>
    <row r="528" spans="7:7">
      <c r="G528" s="74"/>
    </row>
    <row r="529" spans="7:7">
      <c r="G529" s="74"/>
    </row>
    <row r="530" spans="7:7">
      <c r="G530" s="74"/>
    </row>
    <row r="531" spans="7:7">
      <c r="G531" s="74"/>
    </row>
    <row r="532" spans="7:7">
      <c r="G532" s="74"/>
    </row>
    <row r="533" spans="7:7">
      <c r="G533" s="74"/>
    </row>
    <row r="534" spans="7:7">
      <c r="G534" s="74"/>
    </row>
    <row r="535" spans="7:7">
      <c r="G535" s="74"/>
    </row>
    <row r="536" spans="7:7">
      <c r="G536" s="74"/>
    </row>
    <row r="537" spans="7:7">
      <c r="G537" s="74"/>
    </row>
    <row r="538" spans="7:7">
      <c r="G538" s="74"/>
    </row>
    <row r="539" spans="7:7">
      <c r="G539" s="74"/>
    </row>
    <row r="540" spans="7:7">
      <c r="G540" s="74"/>
    </row>
    <row r="541" spans="7:7">
      <c r="G541" s="74"/>
    </row>
    <row r="542" spans="7:7">
      <c r="G542" s="74"/>
    </row>
    <row r="543" spans="7:7">
      <c r="G543" s="74"/>
    </row>
    <row r="544" spans="7:7">
      <c r="G544" s="74"/>
    </row>
    <row r="545" spans="7:7">
      <c r="G545" s="74"/>
    </row>
    <row r="546" spans="7:7">
      <c r="G546" s="74"/>
    </row>
    <row r="547" spans="7:7">
      <c r="G547" s="74"/>
    </row>
    <row r="548" spans="7:7">
      <c r="G548" s="74"/>
    </row>
    <row r="549" spans="7:7">
      <c r="G549" s="74"/>
    </row>
    <row r="550" spans="7:7">
      <c r="G550" s="74"/>
    </row>
    <row r="551" spans="7:7">
      <c r="G551" s="74"/>
    </row>
    <row r="552" spans="7:7">
      <c r="G552" s="74"/>
    </row>
    <row r="553" spans="7:7">
      <c r="G553" s="74"/>
    </row>
    <row r="554" spans="7:7">
      <c r="G554" s="74"/>
    </row>
    <row r="555" spans="7:7">
      <c r="G555" s="74"/>
    </row>
    <row r="556" spans="7:7">
      <c r="G556" s="74"/>
    </row>
    <row r="557" spans="7:7">
      <c r="G557" s="74"/>
    </row>
    <row r="558" spans="7:7">
      <c r="G558" s="74"/>
    </row>
    <row r="559" spans="7:7">
      <c r="G559" s="74"/>
    </row>
    <row r="560" spans="7:7">
      <c r="G560" s="74"/>
    </row>
    <row r="561" spans="7:7">
      <c r="G561" s="74"/>
    </row>
    <row r="562" spans="7:7">
      <c r="G562" s="74"/>
    </row>
    <row r="563" spans="7:7">
      <c r="G563" s="74"/>
    </row>
    <row r="564" spans="7:7">
      <c r="G564" s="74"/>
    </row>
    <row r="565" spans="7:7">
      <c r="G565" s="74"/>
    </row>
    <row r="566" spans="7:7">
      <c r="G566" s="74"/>
    </row>
    <row r="567" spans="7:7">
      <c r="G567" s="74"/>
    </row>
    <row r="568" spans="7:7">
      <c r="G568" s="74"/>
    </row>
    <row r="569" spans="7:7">
      <c r="G569" s="74"/>
    </row>
  </sheetData>
  <sheetProtection password="C616" sheet="1" objects="1" scenarios="1"/>
  <mergeCells count="22">
    <mergeCell ref="B1:D1"/>
    <mergeCell ref="B2:D2"/>
    <mergeCell ref="F2:G2"/>
    <mergeCell ref="B3:D3"/>
    <mergeCell ref="F3:G3"/>
    <mergeCell ref="B9:D9"/>
    <mergeCell ref="B10:D10"/>
    <mergeCell ref="F10:G10"/>
    <mergeCell ref="B16:D16"/>
    <mergeCell ref="F16:G16"/>
    <mergeCell ref="B22:D22"/>
    <mergeCell ref="F22:G22"/>
    <mergeCell ref="B29:D29"/>
    <mergeCell ref="F29:G29"/>
    <mergeCell ref="A35:G35"/>
    <mergeCell ref="B36:D36"/>
    <mergeCell ref="F36:G36"/>
    <mergeCell ref="A42:G42"/>
    <mergeCell ref="B43:D43"/>
    <mergeCell ref="F43:G43"/>
    <mergeCell ref="B49:D49"/>
    <mergeCell ref="F49:G49"/>
  </mergeCells>
  <dataValidations count="11">
    <dataValidation type="textLength" operator="lessThanOrEqual" allowBlank="1" showInputMessage="1" showErrorMessage="1" promptTitle="提示：" prompt="应填写网址格式 如：www.hundsun.com" sqref="F2">
      <formula1>100</formula1>
    </dataValidation>
    <dataValidation type="textLength" operator="equal" allowBlank="1" showInputMessage="1" showErrorMessage="1" promptTitle="提示：" prompt="应填写6位邮编 如：310000" sqref="F3:G3">
      <formula1>6</formula1>
    </dataValidation>
    <dataValidation type="textLength" operator="lessThanOrEqual" allowBlank="1" showInputMessage="1" showErrorMessage="1" errorTitle="错误：" error="请填写中文全称，长度不超过100！" promptTitle="提示：" prompt="应填写中文全称，如：xxx股份有限公司" sqref="B10:D10 B16:D16 B22:D22 B29:D29 B36:D36 B43:D43 B49:D49">
      <formula1>100</formula1>
    </dataValidation>
    <dataValidation allowBlank="1" showInputMessage="1" showErrorMessage="1" errorTitle="错误：" error="统一社会信用代码必须是18位英文或者数字。" promptTitle="提示：" prompt="请输入不超过18位英文或者数字，境外企业代码填写格式为：国家或地区代码缩写+企业代码" sqref="F10:G10 F16:G16 F22:G22 F29:G29 F36:G36 F43:G43 F49:G49"/>
    <dataValidation type="textLength" operator="lessThanOrEqual" allowBlank="1" showInputMessage="1" showErrorMessage="1" errorTitle="错误" error="姓名长度应小于100" promptTitle="提示：" prompt="应填写中文或英文 如：张三或Peter Zhang" sqref="B5:B8 B12:B15 B18:B21 B24:B27 B31:B34 B38:B41 B45:B48 B51:B54">
      <formula1>100</formula1>
    </dataValidation>
    <dataValidation allowBlank="1" showInputMessage="1" showErrorMessage="1" promptTitle="提示：" prompt="应填写身份证号(15或18位)或护照号  如：210411190001018294或E12345678" sqref="C5:C8 C12:C15 C18:C21 C24:C27 C31:C34 C38:C41 C45:C48 C51:C54"/>
    <dataValidation allowBlank="1" showInputMessage="1" showErrorMessage="1" promptTitle="提示：" prompt="应填写电话号码类型,如：0755-72222222" sqref="D5:D8 D12:D15 D18:D21 D24:D27 D31:D34 D38:D41 D45:D48 D51:D54"/>
    <dataValidation allowBlank="1" showInputMessage="1" showErrorMessage="1" promptTitle="提示：" prompt="应填写正确传真格式（区号-电话号码） 如：020-61013769" sqref="E5:E8 E12:E15 E18:E21 E24:E27 E31:E34 E38:E41 E45:E48 E51:E54"/>
    <dataValidation type="custom" allowBlank="1" showInputMessage="1" showErrorMessage="1" errorTitle="错误" error="邮箱格式不正确" promptTitle="提示：" prompt="应填写邮箱类型 如:my@my.com" sqref="F5:F8 F12:F15 F18:F21 F24:F27 F31:F34 F38:F41 F45:F48 F51:F54">
      <formula1>COUNTIF(F5,"?*@?*.?*")</formula1>
    </dataValidation>
    <dataValidation type="textLength" operator="equal" allowBlank="1" showInputMessage="1" showErrorMessage="1" errorTitle="错误" error="电话号码格式错误" promptTitle="提示：" prompt="应填写11位手机号码 如：13012345678" sqref="G5:G8 G12:G15 G18:G21 G24:G27 G31:G34 G38:G41 G45:G48 G51:G54">
      <formula1>11</formula1>
    </dataValidation>
    <dataValidation allowBlank="1" showInputMessage="1" showErrorMessage="1" promptTitle="提示：" prompt="应填写中文或英文 如：XX省XX市XX区XX大道XX号" sqref="B2:D3"/>
  </dataValidations>
  <pageMargins left="0.699305555555556" right="0.699305555555556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N59"/>
  <sheetViews>
    <sheetView topLeftCell="A42" workbookViewId="0">
      <selection activeCell="B4" sqref="B4"/>
    </sheetView>
  </sheetViews>
  <sheetFormatPr defaultColWidth="9" defaultRowHeight="14"/>
  <cols>
    <col min="1" max="1" width="52.1640625" customWidth="1"/>
    <col min="2" max="2" width="25.5" style="116" customWidth="1"/>
    <col min="3" max="3" width="25.1640625" style="116" customWidth="1"/>
    <col min="4" max="4" width="26.3359375" style="116" customWidth="1"/>
    <col min="5" max="5" width="25" style="116" customWidth="1"/>
    <col min="7" max="9" width="9" style="114"/>
  </cols>
  <sheetData>
    <row r="1" s="114" customFormat="1" ht="30" customHeight="1" spans="1:14">
      <c r="A1" s="117" t="s">
        <v>134</v>
      </c>
      <c r="B1" s="118"/>
      <c r="C1" s="118"/>
      <c r="D1" s="118"/>
      <c r="E1" s="143"/>
      <c r="F1"/>
      <c r="G1"/>
      <c r="H1"/>
      <c r="I1"/>
      <c r="J1"/>
      <c r="K1"/>
      <c r="L1"/>
      <c r="M1"/>
      <c r="N1"/>
    </row>
    <row r="2" s="115" customFormat="1" ht="20" customHeight="1" spans="1:14">
      <c r="A2" s="119"/>
      <c r="B2" s="120" t="s">
        <v>135</v>
      </c>
      <c r="C2" s="120" t="s">
        <v>136</v>
      </c>
      <c r="D2" s="120" t="s">
        <v>137</v>
      </c>
      <c r="E2" s="120" t="s">
        <v>138</v>
      </c>
      <c r="F2" s="116"/>
      <c r="G2" s="116"/>
      <c r="H2" s="116"/>
      <c r="I2" s="116"/>
      <c r="J2" s="116"/>
      <c r="K2" s="116"/>
      <c r="L2" s="116"/>
      <c r="M2" s="116"/>
      <c r="N2" s="116"/>
    </row>
    <row r="3" s="116" customFormat="1" ht="20" customHeight="1" spans="1:5">
      <c r="A3" s="121" t="s">
        <v>139</v>
      </c>
      <c r="B3" s="122"/>
      <c r="C3" s="123"/>
      <c r="D3" s="124"/>
      <c r="E3" s="124"/>
    </row>
    <row r="4" s="116" customFormat="1" ht="20" customHeight="1" spans="1:5">
      <c r="A4" s="125" t="s">
        <v>140</v>
      </c>
      <c r="B4" s="126"/>
      <c r="C4" s="126"/>
      <c r="D4" s="126"/>
      <c r="E4" s="126"/>
    </row>
    <row r="5" s="116" customFormat="1" ht="20" customHeight="1" spans="1:5">
      <c r="A5" s="125" t="s">
        <v>141</v>
      </c>
      <c r="B5" s="126"/>
      <c r="C5" s="126"/>
      <c r="D5" s="126"/>
      <c r="E5" s="126"/>
    </row>
    <row r="6" s="116" customFormat="1" ht="20" customHeight="1" spans="1:5">
      <c r="A6" s="125" t="s">
        <v>142</v>
      </c>
      <c r="B6" s="127">
        <f>B4+B5</f>
        <v>0</v>
      </c>
      <c r="C6" s="127">
        <f>C4+C5</f>
        <v>0</v>
      </c>
      <c r="D6" s="127">
        <f>D4+D5</f>
        <v>0</v>
      </c>
      <c r="E6" s="127">
        <f>E4+E5</f>
        <v>0</v>
      </c>
    </row>
    <row r="7" s="116" customFormat="1" ht="20" customHeight="1" spans="1:5">
      <c r="A7" s="125" t="s">
        <v>143</v>
      </c>
      <c r="B7" s="126"/>
      <c r="C7" s="126"/>
      <c r="D7" s="126"/>
      <c r="E7" s="126"/>
    </row>
    <row r="8" s="116" customFormat="1" ht="20" customHeight="1" spans="1:5">
      <c r="A8" s="125" t="s">
        <v>144</v>
      </c>
      <c r="B8" s="126"/>
      <c r="C8" s="126"/>
      <c r="D8" s="126"/>
      <c r="E8" s="126"/>
    </row>
    <row r="9" s="116" customFormat="1" ht="20" customHeight="1" spans="1:5">
      <c r="A9" s="125" t="s">
        <v>145</v>
      </c>
      <c r="B9" s="127">
        <f>B7+B8</f>
        <v>0</v>
      </c>
      <c r="C9" s="127">
        <f>C7+C8</f>
        <v>0</v>
      </c>
      <c r="D9" s="127">
        <f>D7+D8</f>
        <v>0</v>
      </c>
      <c r="E9" s="127">
        <f>E7+E8</f>
        <v>0</v>
      </c>
    </row>
    <row r="10" s="116" customFormat="1" ht="20" customHeight="1" spans="1:5">
      <c r="A10" s="125" t="s">
        <v>146</v>
      </c>
      <c r="B10" s="127">
        <f>B6-B9</f>
        <v>0</v>
      </c>
      <c r="C10" s="127">
        <f>C6-C9</f>
        <v>0</v>
      </c>
      <c r="D10" s="127">
        <f>D6-D9</f>
        <v>0</v>
      </c>
      <c r="E10" s="127">
        <f>E6-E9</f>
        <v>0</v>
      </c>
    </row>
    <row r="11" s="116" customFormat="1" ht="20" customHeight="1" spans="1:5">
      <c r="A11" s="125" t="s">
        <v>147</v>
      </c>
      <c r="B11" s="126"/>
      <c r="C11" s="126"/>
      <c r="D11" s="126"/>
      <c r="E11" s="126"/>
    </row>
    <row r="12" ht="30" customHeight="1" spans="1:9">
      <c r="A12" s="117" t="s">
        <v>148</v>
      </c>
      <c r="B12" s="118"/>
      <c r="C12" s="128"/>
      <c r="D12" s="128"/>
      <c r="E12" s="144"/>
      <c r="G12"/>
      <c r="H12"/>
      <c r="I12"/>
    </row>
    <row r="13" s="116" customFormat="1" ht="20" customHeight="1" spans="2:5">
      <c r="B13" s="120" t="s">
        <v>135</v>
      </c>
      <c r="C13" s="120" t="s">
        <v>136</v>
      </c>
      <c r="D13" s="120" t="s">
        <v>137</v>
      </c>
      <c r="E13" s="120" t="s">
        <v>138</v>
      </c>
    </row>
    <row r="14" s="116" customFormat="1" ht="20" customHeight="1" spans="1:5">
      <c r="A14" s="129" t="s">
        <v>149</v>
      </c>
      <c r="B14" s="130" t="s">
        <v>150</v>
      </c>
      <c r="C14" s="130" t="s">
        <v>150</v>
      </c>
      <c r="D14" s="130" t="s">
        <v>150</v>
      </c>
      <c r="E14" s="130" t="s">
        <v>150</v>
      </c>
    </row>
    <row r="15" s="116" customFormat="1" ht="20" customHeight="1" spans="1:5">
      <c r="A15" s="129" t="s">
        <v>151</v>
      </c>
      <c r="B15" s="126"/>
      <c r="C15" s="126"/>
      <c r="D15" s="126"/>
      <c r="E15" s="126"/>
    </row>
    <row r="16" s="116" customFormat="1" ht="20" customHeight="1" spans="1:5">
      <c r="A16" s="129" t="s">
        <v>152</v>
      </c>
      <c r="B16" s="126"/>
      <c r="C16" s="126"/>
      <c r="D16" s="126"/>
      <c r="E16" s="126"/>
    </row>
    <row r="17" s="116" customFormat="1" ht="20" customHeight="1" spans="1:5">
      <c r="A17" s="129" t="s">
        <v>153</v>
      </c>
      <c r="B17" s="131"/>
      <c r="C17" s="131"/>
      <c r="D17" s="131"/>
      <c r="E17" s="131"/>
    </row>
    <row r="18" s="116" customFormat="1" ht="20" customHeight="1" spans="1:5">
      <c r="A18" s="129" t="s">
        <v>154</v>
      </c>
      <c r="B18" s="131"/>
      <c r="C18" s="131"/>
      <c r="D18" s="131"/>
      <c r="E18" s="131"/>
    </row>
    <row r="19" s="116" customFormat="1" ht="20" customHeight="1" spans="1:5">
      <c r="A19" s="129" t="s">
        <v>155</v>
      </c>
      <c r="B19" s="131"/>
      <c r="C19" s="131"/>
      <c r="D19" s="131"/>
      <c r="E19" s="131"/>
    </row>
    <row r="20" s="116" customFormat="1" ht="20" customHeight="1" spans="1:5">
      <c r="A20" s="129" t="s">
        <v>156</v>
      </c>
      <c r="B20" s="131"/>
      <c r="C20" s="131"/>
      <c r="D20" s="131"/>
      <c r="E20" s="131"/>
    </row>
    <row r="21" s="116" customFormat="1" ht="20" customHeight="1" spans="1:5">
      <c r="A21" s="129" t="s">
        <v>157</v>
      </c>
      <c r="B21" s="126"/>
      <c r="C21" s="126"/>
      <c r="D21" s="126"/>
      <c r="E21" s="126"/>
    </row>
    <row r="22" s="116" customFormat="1" ht="20" customHeight="1" spans="1:5">
      <c r="A22" s="129" t="s">
        <v>158</v>
      </c>
      <c r="B22" s="126"/>
      <c r="C22" s="126"/>
      <c r="D22" s="126"/>
      <c r="E22" s="126"/>
    </row>
    <row r="23" s="116" customFormat="1" ht="20" customHeight="1" spans="1:5">
      <c r="A23" s="129" t="s">
        <v>159</v>
      </c>
      <c r="B23" s="126"/>
      <c r="C23" s="126"/>
      <c r="D23" s="126"/>
      <c r="E23" s="126"/>
    </row>
    <row r="24" s="116" customFormat="1" ht="20" customHeight="1" spans="1:5">
      <c r="A24" s="129" t="s">
        <v>160</v>
      </c>
      <c r="B24" s="126"/>
      <c r="C24" s="126"/>
      <c r="D24" s="126"/>
      <c r="E24" s="126"/>
    </row>
    <row r="25" s="116" customFormat="1" ht="20" customHeight="1" spans="1:5">
      <c r="A25" s="129" t="s">
        <v>161</v>
      </c>
      <c r="B25" s="126"/>
      <c r="C25" s="126"/>
      <c r="D25" s="126"/>
      <c r="E25" s="126"/>
    </row>
    <row r="26" s="116" customFormat="1" ht="20" customHeight="1" spans="1:5">
      <c r="A26" s="129" t="s">
        <v>162</v>
      </c>
      <c r="B26" s="126"/>
      <c r="C26" s="126"/>
      <c r="D26" s="126"/>
      <c r="E26" s="126"/>
    </row>
    <row r="27" ht="30" customHeight="1" spans="1:9">
      <c r="A27" s="132" t="s">
        <v>163</v>
      </c>
      <c r="B27" s="133"/>
      <c r="C27" s="134"/>
      <c r="D27" s="134"/>
      <c r="E27" s="145"/>
      <c r="G27"/>
      <c r="H27"/>
      <c r="I27"/>
    </row>
    <row r="28" s="31" customFormat="1" ht="20" customHeight="1" spans="1:5">
      <c r="A28" s="120"/>
      <c r="B28" s="120" t="s">
        <v>135</v>
      </c>
      <c r="C28" s="120" t="s">
        <v>136</v>
      </c>
      <c r="D28" s="120" t="s">
        <v>137</v>
      </c>
      <c r="E28" s="120" t="s">
        <v>138</v>
      </c>
    </row>
    <row r="29" s="31" customFormat="1" ht="20" customHeight="1" spans="1:5">
      <c r="A29" s="129" t="s">
        <v>164</v>
      </c>
      <c r="B29" s="130" t="s">
        <v>150</v>
      </c>
      <c r="C29" s="130" t="s">
        <v>150</v>
      </c>
      <c r="D29" s="130" t="s">
        <v>150</v>
      </c>
      <c r="E29" s="130" t="s">
        <v>150</v>
      </c>
    </row>
    <row r="30" s="31" customFormat="1" ht="20" customHeight="1" spans="1:5">
      <c r="A30" s="129" t="s">
        <v>165</v>
      </c>
      <c r="B30" s="126"/>
      <c r="C30" s="126"/>
      <c r="D30" s="126"/>
      <c r="E30" s="126"/>
    </row>
    <row r="31" s="31" customFormat="1" ht="20" customHeight="1" spans="1:5">
      <c r="A31" s="129" t="s">
        <v>166</v>
      </c>
      <c r="B31" s="126"/>
      <c r="C31" s="126"/>
      <c r="D31" s="126"/>
      <c r="E31" s="126"/>
    </row>
    <row r="32" s="31" customFormat="1" ht="20" customHeight="1" spans="1:5">
      <c r="A32" s="129" t="s">
        <v>167</v>
      </c>
      <c r="B32" s="126"/>
      <c r="C32" s="126"/>
      <c r="D32" s="126"/>
      <c r="E32" s="126"/>
    </row>
    <row r="33" s="31" customFormat="1" ht="20" customHeight="1" spans="1:5">
      <c r="A33" s="129" t="s">
        <v>168</v>
      </c>
      <c r="B33" s="126"/>
      <c r="C33" s="126"/>
      <c r="D33" s="126"/>
      <c r="E33" s="126"/>
    </row>
    <row r="34" ht="30" customHeight="1" spans="1:9">
      <c r="A34" s="132" t="s">
        <v>169</v>
      </c>
      <c r="B34" s="133"/>
      <c r="C34" s="134"/>
      <c r="D34" s="134"/>
      <c r="E34" s="145"/>
      <c r="G34"/>
      <c r="H34"/>
      <c r="I34"/>
    </row>
    <row r="35" ht="20" customHeight="1" spans="1:9">
      <c r="A35" s="120"/>
      <c r="B35" s="120" t="s">
        <v>135</v>
      </c>
      <c r="C35" s="120" t="s">
        <v>136</v>
      </c>
      <c r="D35" s="120" t="s">
        <v>137</v>
      </c>
      <c r="E35" s="120" t="s">
        <v>138</v>
      </c>
      <c r="G35"/>
      <c r="H35"/>
      <c r="I35"/>
    </row>
    <row r="36" ht="20" customHeight="1" spans="1:9">
      <c r="A36" s="129" t="s">
        <v>170</v>
      </c>
      <c r="B36" s="135"/>
      <c r="C36" s="135"/>
      <c r="D36" s="135"/>
      <c r="E36" s="135"/>
      <c r="G36"/>
      <c r="H36"/>
      <c r="I36"/>
    </row>
    <row r="37" ht="20" customHeight="1" spans="1:9">
      <c r="A37" s="129" t="s">
        <v>171</v>
      </c>
      <c r="B37" s="127">
        <f>IF(B7=0,0,B4/B7)</f>
        <v>0</v>
      </c>
      <c r="C37" s="127">
        <f>IF(C7=0,0,C4/C7)</f>
        <v>0</v>
      </c>
      <c r="D37" s="127">
        <f>IF(D7=0,0,D4/D7)</f>
        <v>0</v>
      </c>
      <c r="E37" s="127">
        <f>IF(E7=0,0,E4/E7)</f>
        <v>0</v>
      </c>
      <c r="G37"/>
      <c r="H37"/>
      <c r="I37"/>
    </row>
    <row r="38" ht="20" customHeight="1" spans="1:9">
      <c r="A38" s="129" t="s">
        <v>172</v>
      </c>
      <c r="B38" s="126"/>
      <c r="C38" s="126"/>
      <c r="D38" s="126"/>
      <c r="E38" s="126"/>
      <c r="G38"/>
      <c r="H38"/>
      <c r="I38"/>
    </row>
    <row r="39" ht="20" customHeight="1" spans="1:9">
      <c r="A39" s="129" t="s">
        <v>173</v>
      </c>
      <c r="B39" s="131"/>
      <c r="C39" s="131"/>
      <c r="D39" s="131"/>
      <c r="E39" s="131"/>
      <c r="G39"/>
      <c r="H39"/>
      <c r="I39"/>
    </row>
    <row r="40" ht="20" customHeight="1" spans="1:9">
      <c r="A40" s="129" t="s">
        <v>174</v>
      </c>
      <c r="B40" s="136">
        <f>IF(B6=0,0,B9/B6)</f>
        <v>0</v>
      </c>
      <c r="C40" s="136">
        <f>IF(C6=0,0,C9/C6)</f>
        <v>0</v>
      </c>
      <c r="D40" s="136">
        <f>IF(D6=0,0,D9/D6)</f>
        <v>0</v>
      </c>
      <c r="E40" s="136">
        <f>IF(E6=0,0,E9/E6)</f>
        <v>0</v>
      </c>
      <c r="G40"/>
      <c r="H40"/>
      <c r="I40"/>
    </row>
    <row r="41" ht="20" customHeight="1" spans="1:9">
      <c r="A41" s="137" t="s">
        <v>175</v>
      </c>
      <c r="B41" s="126"/>
      <c r="C41" s="126"/>
      <c r="D41" s="126"/>
      <c r="E41" s="126"/>
      <c r="G41"/>
      <c r="H41"/>
      <c r="I41"/>
    </row>
    <row r="42" ht="20" customHeight="1" spans="1:9">
      <c r="A42" s="137" t="s">
        <v>176</v>
      </c>
      <c r="B42" s="126"/>
      <c r="C42" s="126"/>
      <c r="D42" s="126"/>
      <c r="E42" s="126"/>
      <c r="G42"/>
      <c r="H42"/>
      <c r="I42"/>
    </row>
    <row r="43" ht="20" customHeight="1" spans="1:9">
      <c r="A43" s="137" t="s">
        <v>177</v>
      </c>
      <c r="B43" s="126"/>
      <c r="C43" s="126"/>
      <c r="D43" s="126"/>
      <c r="E43" s="126"/>
      <c r="G43"/>
      <c r="H43"/>
      <c r="I43"/>
    </row>
    <row r="44" ht="20" customHeight="1" spans="1:9">
      <c r="A44" s="137" t="s">
        <v>178</v>
      </c>
      <c r="B44" s="131"/>
      <c r="C44" s="131"/>
      <c r="D44" s="131"/>
      <c r="E44" s="131"/>
      <c r="G44"/>
      <c r="H44"/>
      <c r="I44"/>
    </row>
    <row r="45" ht="20" customHeight="1" spans="1:9">
      <c r="A45" s="137" t="s">
        <v>179</v>
      </c>
      <c r="B45" s="126"/>
      <c r="C45" s="126"/>
      <c r="D45" s="126"/>
      <c r="E45" s="126"/>
      <c r="G45"/>
      <c r="H45"/>
      <c r="I45"/>
    </row>
    <row r="46" ht="20" customHeight="1" spans="1:9">
      <c r="A46" s="137" t="s">
        <v>180</v>
      </c>
      <c r="B46" s="126"/>
      <c r="C46" s="126"/>
      <c r="D46" s="126"/>
      <c r="E46" s="126"/>
      <c r="G46"/>
      <c r="H46"/>
      <c r="I46"/>
    </row>
    <row r="47" ht="20" customHeight="1" spans="1:9">
      <c r="A47" s="137" t="s">
        <v>181</v>
      </c>
      <c r="B47" s="126"/>
      <c r="C47" s="126"/>
      <c r="D47" s="126"/>
      <c r="E47" s="126"/>
      <c r="G47"/>
      <c r="H47"/>
      <c r="I47"/>
    </row>
    <row r="48" ht="20" customHeight="1" spans="1:9">
      <c r="A48" s="137" t="s">
        <v>182</v>
      </c>
      <c r="B48" s="126"/>
      <c r="C48" s="126"/>
      <c r="D48" s="126"/>
      <c r="E48" s="126"/>
      <c r="G48"/>
      <c r="H48"/>
      <c r="I48"/>
    </row>
    <row r="49" ht="20" customHeight="1" spans="1:9">
      <c r="A49" s="137" t="s">
        <v>183</v>
      </c>
      <c r="B49" s="126"/>
      <c r="C49" s="126"/>
      <c r="D49" s="126"/>
      <c r="E49" s="126"/>
      <c r="G49"/>
      <c r="H49"/>
      <c r="I49"/>
    </row>
    <row r="50" ht="20" customHeight="1" spans="1:9">
      <c r="A50" s="138" t="s">
        <v>184</v>
      </c>
      <c r="B50" s="126"/>
      <c r="C50" s="126"/>
      <c r="D50" s="126"/>
      <c r="E50" s="126"/>
      <c r="G50"/>
      <c r="H50"/>
      <c r="I50"/>
    </row>
    <row r="51" ht="20" customHeight="1" spans="1:9">
      <c r="A51" s="138" t="s">
        <v>185</v>
      </c>
      <c r="B51" s="131"/>
      <c r="C51" s="131"/>
      <c r="D51" s="131"/>
      <c r="E51" s="131"/>
      <c r="G51"/>
      <c r="H51"/>
      <c r="I51"/>
    </row>
    <row r="52" ht="20" customHeight="1" spans="1:9">
      <c r="A52" s="137" t="s">
        <v>186</v>
      </c>
      <c r="B52" s="131"/>
      <c r="C52" s="131"/>
      <c r="D52" s="131"/>
      <c r="E52" s="131"/>
      <c r="G52"/>
      <c r="H52"/>
      <c r="I52"/>
    </row>
    <row r="53" ht="30" customHeight="1" spans="1:9">
      <c r="A53" s="132" t="s">
        <v>187</v>
      </c>
      <c r="B53" s="133"/>
      <c r="C53" s="134"/>
      <c r="D53" s="134"/>
      <c r="E53" s="145"/>
      <c r="G53"/>
      <c r="H53"/>
      <c r="I53"/>
    </row>
    <row r="54" ht="20" customHeight="1" spans="1:9">
      <c r="A54" s="120"/>
      <c r="B54" s="120" t="s">
        <v>135</v>
      </c>
      <c r="C54" s="139" t="s">
        <v>136</v>
      </c>
      <c r="D54" s="120" t="s">
        <v>137</v>
      </c>
      <c r="E54" s="120" t="s">
        <v>138</v>
      </c>
      <c r="G54"/>
      <c r="H54"/>
      <c r="I54"/>
    </row>
    <row r="55" ht="20" customHeight="1" spans="1:9">
      <c r="A55" s="137" t="s">
        <v>188</v>
      </c>
      <c r="B55" s="140" t="s">
        <v>150</v>
      </c>
      <c r="C55" s="130" t="s">
        <v>150</v>
      </c>
      <c r="D55" s="140" t="s">
        <v>150</v>
      </c>
      <c r="E55" s="130" t="s">
        <v>150</v>
      </c>
      <c r="G55"/>
      <c r="H55"/>
      <c r="I55"/>
    </row>
    <row r="56" ht="20" customHeight="1" spans="1:9">
      <c r="A56" s="137" t="s">
        <v>189</v>
      </c>
      <c r="B56" s="141"/>
      <c r="C56" s="142"/>
      <c r="D56" s="141"/>
      <c r="E56" s="141"/>
      <c r="G56"/>
      <c r="H56"/>
      <c r="I56"/>
    </row>
    <row r="57" ht="20" customHeight="1" spans="1:9">
      <c r="A57" s="137" t="s">
        <v>190</v>
      </c>
      <c r="B57" s="141"/>
      <c r="C57" s="141"/>
      <c r="D57" s="141"/>
      <c r="E57" s="141"/>
      <c r="G57"/>
      <c r="H57"/>
      <c r="I57"/>
    </row>
    <row r="58" spans="7:9">
      <c r="G58"/>
      <c r="H58"/>
      <c r="I58"/>
    </row>
    <row r="59" spans="7:9">
      <c r="G59"/>
      <c r="H59"/>
      <c r="I59"/>
    </row>
  </sheetData>
  <sheetProtection password="C616" sheet="1" objects="1" scenarios="1"/>
  <mergeCells count="5">
    <mergeCell ref="A1:E1"/>
    <mergeCell ref="A12:E12"/>
    <mergeCell ref="A27:E27"/>
    <mergeCell ref="A34:E34"/>
    <mergeCell ref="A53:E53"/>
  </mergeCells>
  <dataValidations count="13">
    <dataValidation type="date" operator="between" allowBlank="1" showInputMessage="1" showErrorMessage="1" errorTitle="错误：" error="请填写第n个季度的最后一天，日期格式  如：2020/3/31" promptTitle="提示：" prompt="应填写第n个季度的最后一天，日期格式  如：2020/3/31" sqref="B3">
      <formula1>1</formula1>
      <formula2>2958101</formula2>
    </dataValidation>
    <dataValidation type="date" operator="between" allowBlank="1" showInputMessage="1" showErrorMessage="1" errorTitle="错误：" error="请填写一年前的最后一天，日期格式 如 ：2019/12/31" promptTitle="提示：" prompt="应填写一年前的最后一天，日期格式 如 ：2019/12/31" sqref="C3">
      <formula1>1</formula1>
      <formula2>2958101</formula2>
    </dataValidation>
    <dataValidation type="date" operator="between" allowBlank="1" showInputMessage="1" showErrorMessage="1" errorTitle="错误：" error="请填写两年前的最后一天，日期格式 如 ：2018/12/31" promptTitle="提示：" prompt="应填写两年前的最后一天，日期格式 如 ：2018/12/31" sqref="D3">
      <formula1>1</formula1>
      <formula2>2958101</formula2>
    </dataValidation>
    <dataValidation type="date" operator="between" allowBlank="1" showInputMessage="1" showErrorMessage="1" errorTitle="错误：" error="请填写三年前的最后一天，日期格式 如 ：2017/12/31" promptTitle="提示：" prompt="应填写三年前的最后一天，日期格式 如 ：2017/12/31" sqref="E3">
      <formula1>1</formula1>
      <formula2>2958101</formula2>
    </dataValidation>
    <dataValidation allowBlank="1" showInputMessage="1" showErrorMessage="1" promptTitle="提示：" prompt="自动计算，请勿修改。" sqref="B6:E6 B14:E14 B29:E29 B40:E40 B55:E55 B36:E37 B9:E10"/>
    <dataValidation type="decimal" operator="between" allowBlank="1" showInputMessage="1" showErrorMessage="1" errorTitle="错误：" error="请输入整数位不超过12位、小数位不超过2位的数,如：5000.12" promptTitle="提示：" prompt="应填写数字，并保留两位小数 如：5000.12" sqref="B11:E11">
      <formula1>-999999999999.99</formula1>
      <formula2>999999999999.99</formula2>
    </dataValidation>
    <dataValidation type="decimal" operator="between" allowBlank="1" showInputMessage="1" showErrorMessage="1" errorTitle="错误：" error="请输入整数位不超过12位、小数位不超过2位的非负数,如：5000.12" promptTitle="提示：" prompt="应填写非负数，保留两位小数 如：5000.12" sqref="B15:E15 B7:E8 B4:E5">
      <formula1>0</formula1>
      <formula2>999999999999.99</formula2>
    </dataValidation>
    <dataValidation type="decimal" operator="between" allowBlank="1" showInputMessage="1" showErrorMessage="1" errorTitle="错误：" error="请输入整数位不超过12位、小数位不超过2位的数字,如：5000.12" promptTitle="提示：" prompt="应填写数字，保留两位小数 如：5000.12" sqref="B16:E16 B21:E26">
      <formula1>-999999999999.99</formula1>
      <formula2>999999999999.99</formula2>
    </dataValidation>
    <dataValidation type="decimal" operator="between" allowBlank="1" showInputMessage="1" showErrorMessage="1" promptTitle="提示：" prompt="应填写保留两位小数数字 如：4000.00" sqref="B27:E27 B34:E34">
      <formula1>0</formula1>
      <formula2>10000000000000000</formula2>
    </dataValidation>
    <dataValidation type="decimal" operator="between" allowBlank="1" showInputMessage="1" showErrorMessage="1" errorTitle="错误：" error="请输入整数位不超过12位、小数位不超过2位的数字数,如：5000.12" promptTitle="提示：" prompt="应填写数字，保留两位小数 如：5000.12" sqref="B38:E38 B45:E50 B30:E33 B41:E43">
      <formula1>-999999999999.99</formula1>
      <formula2>999999999999.99</formula2>
    </dataValidation>
    <dataValidation type="decimal" operator="between" allowBlank="1" showInputMessage="1" showErrorMessage="1" errorTitle="错误：" error="请输入整数位不超过12位、小数位不超过2位的百分数，如：32.34%" promptTitle="提示：" prompt="应填写百分数，并保留两位小数 如：32.34%" sqref="B39:E39 B51:E52 B17:E20">
      <formula1>-999999999999.99</formula1>
      <formula2>999999999999.99</formula2>
    </dataValidation>
    <dataValidation type="decimal" operator="between" allowBlank="1" showInputMessage="1" showErrorMessage="1" errorTitle="错误：" error="请输入整数位不超过12位、小数位不超过2位的百分数，并保留两位小数 如：32.34%" promptTitle="提示：" prompt="应填写百分数，并保留两位小数 如：32.34%" sqref="B44:E44">
      <formula1>-999999999999.99</formula1>
      <formula2>999999999999.99</formula2>
    </dataValidation>
    <dataValidation type="whole" operator="between" allowBlank="1" showInputMessage="1" showErrorMessage="1" errorTitle="错误：" error="请输入不超过14位的非负整数！" promptTitle="提示：" prompt="应填写非负整数，如5。" sqref="B56:E57">
      <formula1>0</formula1>
      <formula2>99999999999999</formula2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5"/>
  <dimension ref="A1:O28"/>
  <sheetViews>
    <sheetView topLeftCell="A21" workbookViewId="0">
      <selection activeCell="B3" sqref="B3"/>
    </sheetView>
  </sheetViews>
  <sheetFormatPr defaultColWidth="9" defaultRowHeight="14.4"/>
  <cols>
    <col min="1" max="1" width="5.1640625" style="94" customWidth="1"/>
    <col min="2" max="2" width="34.6640625" style="94" customWidth="1"/>
    <col min="3" max="3" width="14.8359375" style="94" customWidth="1"/>
    <col min="4" max="5" width="19.1640625" style="94" customWidth="1"/>
    <col min="6" max="6" width="21.6640625" style="94" customWidth="1"/>
    <col min="7" max="7" width="22.1640625" style="94" customWidth="1"/>
    <col min="8" max="8" width="21.1640625" style="94" customWidth="1"/>
    <col min="9" max="9" width="25.1640625" style="94" customWidth="1"/>
    <col min="10" max="10" width="35.3359375" style="94" customWidth="1"/>
    <col min="11" max="12" width="9" style="94"/>
    <col min="13" max="13" width="9" style="94" customWidth="1"/>
    <col min="14" max="14" width="9" style="94"/>
    <col min="15" max="15" width="14.1640625" style="94" hidden="1" customWidth="1"/>
    <col min="16" max="16384" width="9" style="94"/>
  </cols>
  <sheetData>
    <row r="1" ht="40" customHeight="1" spans="1:10">
      <c r="A1" s="95" t="s">
        <v>191</v>
      </c>
      <c r="B1" s="95"/>
      <c r="C1" s="95"/>
      <c r="D1" s="95"/>
      <c r="E1" s="95"/>
      <c r="F1" s="95"/>
      <c r="G1" s="95"/>
      <c r="H1" s="95"/>
      <c r="I1" s="95"/>
      <c r="J1" s="95"/>
    </row>
    <row r="2" ht="40" customHeight="1" spans="1:10">
      <c r="A2" s="96" t="s">
        <v>192</v>
      </c>
      <c r="B2" s="96" t="s">
        <v>193</v>
      </c>
      <c r="C2" s="97" t="s">
        <v>194</v>
      </c>
      <c r="D2" s="97" t="s">
        <v>195</v>
      </c>
      <c r="E2" s="97" t="s">
        <v>196</v>
      </c>
      <c r="F2" s="105"/>
      <c r="G2" s="97" t="s">
        <v>197</v>
      </c>
      <c r="H2" s="105"/>
      <c r="I2" s="96" t="s">
        <v>198</v>
      </c>
      <c r="J2" s="96" t="s">
        <v>199</v>
      </c>
    </row>
    <row r="3" ht="20" customHeight="1" spans="1:15">
      <c r="A3" s="98">
        <v>1</v>
      </c>
      <c r="B3" s="99"/>
      <c r="C3" s="100"/>
      <c r="D3" s="101"/>
      <c r="E3" s="109"/>
      <c r="F3" s="110"/>
      <c r="G3" s="106"/>
      <c r="H3" s="107"/>
      <c r="I3" s="108"/>
      <c r="J3" s="111"/>
      <c r="O3" s="94" t="str">
        <f>IF(C3="","",TEXT(C3,"YYYY-MM-dd"))</f>
        <v/>
      </c>
    </row>
    <row r="4" ht="20" customHeight="1" spans="1:15">
      <c r="A4" s="98">
        <v>2</v>
      </c>
      <c r="B4" s="99"/>
      <c r="C4" s="100"/>
      <c r="D4" s="101"/>
      <c r="E4" s="109"/>
      <c r="F4" s="110"/>
      <c r="G4" s="106"/>
      <c r="H4" s="107"/>
      <c r="I4" s="108"/>
      <c r="J4" s="111"/>
      <c r="O4" s="94" t="str">
        <f>IF(C4="","",TEXT(C4,"YYYY-MM-dd"))</f>
        <v/>
      </c>
    </row>
    <row r="5" ht="20" customHeight="1" spans="1:15">
      <c r="A5" s="98">
        <v>3</v>
      </c>
      <c r="B5" s="99"/>
      <c r="C5" s="100"/>
      <c r="D5" s="101"/>
      <c r="E5" s="109"/>
      <c r="F5" s="110"/>
      <c r="G5" s="106"/>
      <c r="H5" s="107"/>
      <c r="I5" s="108"/>
      <c r="J5" s="111"/>
      <c r="O5" s="94" t="str">
        <f>IF(C5="","",TEXT(C5,"YYYY-MM-dd"))</f>
        <v/>
      </c>
    </row>
    <row r="6" ht="20" customHeight="1" spans="1:15">
      <c r="A6" s="98">
        <v>4</v>
      </c>
      <c r="B6" s="99"/>
      <c r="C6" s="100"/>
      <c r="D6" s="101"/>
      <c r="E6" s="109"/>
      <c r="F6" s="110"/>
      <c r="G6" s="106"/>
      <c r="H6" s="107"/>
      <c r="I6" s="108"/>
      <c r="J6" s="111"/>
      <c r="O6" s="94" t="str">
        <f>IF(C6="","",TEXT(C6,"YYYY-MM-dd"))</f>
        <v/>
      </c>
    </row>
    <row r="7" ht="20" customHeight="1" spans="1:15">
      <c r="A7" s="98">
        <v>5</v>
      </c>
      <c r="B7" s="99"/>
      <c r="C7" s="100"/>
      <c r="D7" s="101"/>
      <c r="E7" s="109"/>
      <c r="F7" s="110"/>
      <c r="G7" s="106"/>
      <c r="H7" s="107"/>
      <c r="I7" s="108"/>
      <c r="J7" s="111"/>
      <c r="O7" s="94" t="str">
        <f>IF(C7="","",TEXT(C7,"YYYY-MM-dd"))</f>
        <v/>
      </c>
    </row>
    <row r="8" ht="40" customHeight="1" spans="1:10">
      <c r="A8" s="95" t="s">
        <v>200</v>
      </c>
      <c r="B8" s="95"/>
      <c r="C8" s="95"/>
      <c r="D8" s="95"/>
      <c r="E8" s="95"/>
      <c r="F8" s="95"/>
      <c r="G8" s="95"/>
      <c r="H8" s="95"/>
      <c r="I8" s="95"/>
      <c r="J8" s="95"/>
    </row>
    <row r="9" ht="40" customHeight="1" spans="1:10">
      <c r="A9" s="102" t="s">
        <v>192</v>
      </c>
      <c r="B9" s="102" t="s">
        <v>201</v>
      </c>
      <c r="C9" s="102" t="s">
        <v>202</v>
      </c>
      <c r="D9" s="102" t="s">
        <v>203</v>
      </c>
      <c r="E9" s="102" t="s">
        <v>204</v>
      </c>
      <c r="F9" s="102" t="s">
        <v>205</v>
      </c>
      <c r="G9" s="102" t="s">
        <v>206</v>
      </c>
      <c r="H9" s="102" t="s">
        <v>207</v>
      </c>
      <c r="I9" s="96" t="s">
        <v>208</v>
      </c>
      <c r="J9" s="96"/>
    </row>
    <row r="10" ht="20" customHeight="1" spans="1:15">
      <c r="A10" s="98">
        <v>1</v>
      </c>
      <c r="B10" s="103"/>
      <c r="C10" s="104"/>
      <c r="D10" s="103"/>
      <c r="E10" s="111"/>
      <c r="F10" s="112"/>
      <c r="G10" s="112"/>
      <c r="H10" s="112"/>
      <c r="I10" s="111"/>
      <c r="J10" s="111"/>
      <c r="O10" s="94" t="str">
        <f>IF(C10="","",TEXT(C10,"YYYY-MM-dd"))</f>
        <v/>
      </c>
    </row>
    <row r="11" ht="20" customHeight="1" spans="1:15">
      <c r="A11" s="98">
        <v>2</v>
      </c>
      <c r="B11" s="103"/>
      <c r="C11" s="104"/>
      <c r="D11" s="103"/>
      <c r="E11" s="111"/>
      <c r="F11" s="112"/>
      <c r="G11" s="112"/>
      <c r="H11" s="112"/>
      <c r="I11" s="111"/>
      <c r="J11" s="111"/>
      <c r="O11" s="94" t="str">
        <f>IF(C11="","",TEXT(C11,"YYYY-MM-dd"))</f>
        <v/>
      </c>
    </row>
    <row r="12" ht="20" customHeight="1" spans="1:15">
      <c r="A12" s="98">
        <v>3</v>
      </c>
      <c r="B12" s="103"/>
      <c r="C12" s="104"/>
      <c r="D12" s="103"/>
      <c r="E12" s="111"/>
      <c r="F12" s="112"/>
      <c r="G12" s="112"/>
      <c r="H12" s="112"/>
      <c r="I12" s="111"/>
      <c r="J12" s="111"/>
      <c r="O12" s="94" t="str">
        <f>IF(C12="","",TEXT(C12,"YYYY-MM-dd"))</f>
        <v/>
      </c>
    </row>
    <row r="13" ht="20" customHeight="1" spans="1:15">
      <c r="A13" s="98">
        <v>4</v>
      </c>
      <c r="B13" s="103"/>
      <c r="C13" s="104"/>
      <c r="D13" s="103"/>
      <c r="E13" s="111"/>
      <c r="F13" s="112"/>
      <c r="G13" s="112"/>
      <c r="H13" s="112"/>
      <c r="I13" s="111"/>
      <c r="J13" s="111"/>
      <c r="O13" s="94" t="str">
        <f>IF(C13="","",TEXT(C13,"YYYY-MM-dd"))</f>
        <v/>
      </c>
    </row>
    <row r="14" ht="20" customHeight="1" spans="1:15">
      <c r="A14" s="98">
        <v>5</v>
      </c>
      <c r="B14" s="103"/>
      <c r="C14" s="104"/>
      <c r="D14" s="103"/>
      <c r="E14" s="111"/>
      <c r="F14" s="112"/>
      <c r="G14" s="112"/>
      <c r="H14" s="112"/>
      <c r="I14" s="111"/>
      <c r="J14" s="111"/>
      <c r="O14" s="94" t="str">
        <f>IF(C14="","",TEXT(C14,"YYYY-MM-dd"))</f>
        <v/>
      </c>
    </row>
    <row r="15" ht="40" customHeight="1" spans="1:10">
      <c r="A15" s="95" t="s">
        <v>209</v>
      </c>
      <c r="B15" s="95"/>
      <c r="C15" s="95"/>
      <c r="D15" s="95"/>
      <c r="E15" s="95"/>
      <c r="F15" s="95"/>
      <c r="G15" s="95"/>
      <c r="H15" s="95"/>
      <c r="I15" s="95"/>
      <c r="J15" s="95"/>
    </row>
    <row r="16" ht="40" customHeight="1" spans="1:10">
      <c r="A16" s="96" t="s">
        <v>192</v>
      </c>
      <c r="B16" s="97" t="s">
        <v>210</v>
      </c>
      <c r="C16" s="97" t="s">
        <v>211</v>
      </c>
      <c r="D16" s="105"/>
      <c r="E16" s="97" t="s">
        <v>204</v>
      </c>
      <c r="F16" s="105"/>
      <c r="G16" s="97" t="s">
        <v>212</v>
      </c>
      <c r="H16" s="105"/>
      <c r="I16" s="97" t="s">
        <v>208</v>
      </c>
      <c r="J16" s="105"/>
    </row>
    <row r="17" ht="20" customHeight="1" spans="1:10">
      <c r="A17" s="98">
        <v>1</v>
      </c>
      <c r="B17" s="103"/>
      <c r="C17" s="106"/>
      <c r="D17" s="107"/>
      <c r="E17" s="106"/>
      <c r="F17" s="107"/>
      <c r="G17" s="106"/>
      <c r="H17" s="107"/>
      <c r="I17" s="106"/>
      <c r="J17" s="107"/>
    </row>
    <row r="18" ht="20" customHeight="1" spans="1:10">
      <c r="A18" s="98">
        <v>2</v>
      </c>
      <c r="B18" s="103"/>
      <c r="C18" s="106"/>
      <c r="D18" s="107"/>
      <c r="E18" s="106"/>
      <c r="F18" s="107"/>
      <c r="G18" s="106"/>
      <c r="H18" s="107"/>
      <c r="I18" s="106"/>
      <c r="J18" s="107"/>
    </row>
    <row r="19" ht="20" customHeight="1" spans="1:10">
      <c r="A19" s="98">
        <v>3</v>
      </c>
      <c r="B19" s="103"/>
      <c r="C19" s="106"/>
      <c r="D19" s="107"/>
      <c r="E19" s="106"/>
      <c r="F19" s="107"/>
      <c r="G19" s="106"/>
      <c r="H19" s="107"/>
      <c r="I19" s="106"/>
      <c r="J19" s="107"/>
    </row>
    <row r="20" ht="20" customHeight="1" spans="1:10">
      <c r="A20" s="98">
        <v>4</v>
      </c>
      <c r="B20" s="103"/>
      <c r="C20" s="106"/>
      <c r="D20" s="107"/>
      <c r="E20" s="106"/>
      <c r="F20" s="107"/>
      <c r="G20" s="106"/>
      <c r="H20" s="107"/>
      <c r="I20" s="106"/>
      <c r="J20" s="107"/>
    </row>
    <row r="21" ht="20" customHeight="1" spans="1:10">
      <c r="A21" s="98">
        <v>5</v>
      </c>
      <c r="B21" s="103"/>
      <c r="C21" s="106"/>
      <c r="D21" s="107"/>
      <c r="E21" s="106"/>
      <c r="F21" s="107"/>
      <c r="G21" s="106"/>
      <c r="H21" s="107"/>
      <c r="I21" s="106"/>
      <c r="J21" s="107"/>
    </row>
    <row r="22" ht="40" customHeight="1" spans="1:10">
      <c r="A22" s="95" t="s">
        <v>213</v>
      </c>
      <c r="B22" s="95"/>
      <c r="C22" s="95"/>
      <c r="D22" s="95"/>
      <c r="E22" s="95"/>
      <c r="F22" s="95"/>
      <c r="G22" s="95"/>
      <c r="H22" s="95"/>
      <c r="I22" s="95"/>
      <c r="J22" s="95"/>
    </row>
    <row r="23" ht="40" customHeight="1" spans="1:10">
      <c r="A23" s="96" t="s">
        <v>192</v>
      </c>
      <c r="B23" s="96" t="s">
        <v>193</v>
      </c>
      <c r="C23" s="96" t="s">
        <v>214</v>
      </c>
      <c r="D23" s="96" t="s">
        <v>215</v>
      </c>
      <c r="E23" s="96" t="s">
        <v>216</v>
      </c>
      <c r="F23" s="96" t="s">
        <v>217</v>
      </c>
      <c r="G23" s="97" t="s">
        <v>218</v>
      </c>
      <c r="H23" s="105"/>
      <c r="I23" s="96" t="s">
        <v>208</v>
      </c>
      <c r="J23" s="96"/>
    </row>
    <row r="24" ht="20" customHeight="1" spans="1:15">
      <c r="A24" s="98">
        <v>1</v>
      </c>
      <c r="B24" s="103"/>
      <c r="C24" s="104"/>
      <c r="D24" s="108"/>
      <c r="E24" s="108"/>
      <c r="F24" s="108"/>
      <c r="G24" s="106"/>
      <c r="H24" s="107"/>
      <c r="I24" s="111"/>
      <c r="J24" s="111"/>
      <c r="K24" s="113"/>
      <c r="O24" s="94" t="str">
        <f>IF(C24="","",TEXT(C24,"YYYY-MM-dd"))</f>
        <v/>
      </c>
    </row>
    <row r="25" ht="20" customHeight="1" spans="1:15">
      <c r="A25" s="98">
        <v>2</v>
      </c>
      <c r="B25" s="103"/>
      <c r="C25" s="104"/>
      <c r="D25" s="108"/>
      <c r="E25" s="108"/>
      <c r="F25" s="108"/>
      <c r="G25" s="106"/>
      <c r="H25" s="107"/>
      <c r="I25" s="111"/>
      <c r="J25" s="111"/>
      <c r="O25" s="94" t="str">
        <f>IF(C25="","",TEXT(C25,"YYYY-MM-dd"))</f>
        <v/>
      </c>
    </row>
    <row r="26" ht="20" customHeight="1" spans="1:15">
      <c r="A26" s="98">
        <v>3</v>
      </c>
      <c r="B26" s="103"/>
      <c r="C26" s="104"/>
      <c r="D26" s="108"/>
      <c r="E26" s="108"/>
      <c r="F26" s="108"/>
      <c r="G26" s="106"/>
      <c r="H26" s="107"/>
      <c r="I26" s="111"/>
      <c r="J26" s="111"/>
      <c r="O26" s="94" t="str">
        <f>IF(C26="","",TEXT(C26,"YYYY-MM-dd"))</f>
        <v/>
      </c>
    </row>
    <row r="27" ht="20" customHeight="1" spans="1:15">
      <c r="A27" s="98">
        <v>4</v>
      </c>
      <c r="B27" s="103"/>
      <c r="C27" s="104"/>
      <c r="D27" s="108"/>
      <c r="E27" s="108"/>
      <c r="F27" s="108"/>
      <c r="G27" s="106"/>
      <c r="H27" s="107"/>
      <c r="I27" s="111"/>
      <c r="J27" s="111"/>
      <c r="O27" s="94" t="str">
        <f>IF(C27="","",TEXT(C27,"YYYY-MM-dd"))</f>
        <v/>
      </c>
    </row>
    <row r="28" ht="20" customHeight="1" spans="1:15">
      <c r="A28" s="98">
        <v>5</v>
      </c>
      <c r="B28" s="103"/>
      <c r="C28" s="104"/>
      <c r="D28" s="108"/>
      <c r="E28" s="108"/>
      <c r="F28" s="108"/>
      <c r="G28" s="106"/>
      <c r="H28" s="107"/>
      <c r="I28" s="111"/>
      <c r="J28" s="111"/>
      <c r="O28" s="94" t="str">
        <f>IF(C28="","",TEXT(C28,"YYYY-MM-dd"))</f>
        <v/>
      </c>
    </row>
  </sheetData>
  <sheetProtection password="C616" sheet="1" objects="1" scenarios="1"/>
  <mergeCells count="58">
    <mergeCell ref="A1:J1"/>
    <mergeCell ref="E2:F2"/>
    <mergeCell ref="G2:H2"/>
    <mergeCell ref="E3:F3"/>
    <mergeCell ref="G3:H3"/>
    <mergeCell ref="E4:F4"/>
    <mergeCell ref="G4:H4"/>
    <mergeCell ref="E5:F5"/>
    <mergeCell ref="G5:H5"/>
    <mergeCell ref="E6:F6"/>
    <mergeCell ref="G6:H6"/>
    <mergeCell ref="E7:F7"/>
    <mergeCell ref="G7:H7"/>
    <mergeCell ref="A8:J8"/>
    <mergeCell ref="I9:J9"/>
    <mergeCell ref="I10:J10"/>
    <mergeCell ref="I11:J11"/>
    <mergeCell ref="I12:J12"/>
    <mergeCell ref="I13:J13"/>
    <mergeCell ref="I14:J14"/>
    <mergeCell ref="A15:J15"/>
    <mergeCell ref="C16:D16"/>
    <mergeCell ref="E16:F16"/>
    <mergeCell ref="G16:H16"/>
    <mergeCell ref="I16:J16"/>
    <mergeCell ref="C17:D17"/>
    <mergeCell ref="E17:F17"/>
    <mergeCell ref="G17:H17"/>
    <mergeCell ref="I17:J17"/>
    <mergeCell ref="C18:D18"/>
    <mergeCell ref="E18:F18"/>
    <mergeCell ref="G18:H18"/>
    <mergeCell ref="I18:J18"/>
    <mergeCell ref="C19:D19"/>
    <mergeCell ref="E19:F19"/>
    <mergeCell ref="G19:H19"/>
    <mergeCell ref="I19:J19"/>
    <mergeCell ref="C20:D20"/>
    <mergeCell ref="E20:F20"/>
    <mergeCell ref="G20:H20"/>
    <mergeCell ref="I20:J20"/>
    <mergeCell ref="C21:D21"/>
    <mergeCell ref="E21:F21"/>
    <mergeCell ref="G21:H21"/>
    <mergeCell ref="I21:J21"/>
    <mergeCell ref="A22:J22"/>
    <mergeCell ref="G23:H23"/>
    <mergeCell ref="I23:J23"/>
    <mergeCell ref="G24:H24"/>
    <mergeCell ref="I24:J24"/>
    <mergeCell ref="G25:H25"/>
    <mergeCell ref="I25:J25"/>
    <mergeCell ref="G26:H26"/>
    <mergeCell ref="I26:J26"/>
    <mergeCell ref="G27:H27"/>
    <mergeCell ref="I27:J27"/>
    <mergeCell ref="G28:H28"/>
    <mergeCell ref="I28:J28"/>
  </mergeCells>
  <dataValidations count="18">
    <dataValidation type="textLength" operator="lessThanOrEqual" allowBlank="1" showInputMessage="1" showErrorMessage="1" errorTitle="错误：" error="请准确输入产品名称，最大可输入100个字符。" promptTitle="提示：" prompt="请准确输入产品名称，最大可输入100个字符。" sqref="B3:B7">
      <formula1>100</formula1>
    </dataValidation>
    <dataValidation type="textLength" operator="lessThanOrEqual" allowBlank="1" showInputMessage="1" showErrorMessage="1" errorTitle="错误：" error="请填写100文字以内的项目名称。" promptTitle="提示：" prompt="应填写100文字以内的项目名称。" sqref="B10:B14">
      <formula1>100</formula1>
    </dataValidation>
    <dataValidation type="textLength" operator="lessThanOrEqual" allowBlank="1" showInputMessage="1" showErrorMessage="1" errorTitle="错误：" error="请填写100文字以内的参与制定标准名称。" promptTitle="提示：" prompt="应填写100文字以内的参与制定标准名称。" sqref="B17:B21">
      <formula1>100</formula1>
    </dataValidation>
    <dataValidation type="textLength" operator="lessThanOrEqual" allowBlank="1" showInputMessage="1" showErrorMessage="1" errorTitle="错误：" error="应填写100文字以内的产品名称。" promptTitle="提示：" prompt="应填写100文字以内的产品名称。" sqref="B24:B28">
      <formula1>100</formula1>
    </dataValidation>
    <dataValidation type="date" operator="between" allowBlank="1" showInputMessage="1" showErrorMessage="1" errorTitle="错误：" error="请参考日期格式输入正确的报告期。如：2019/10/1" promptTitle="提示：" prompt="应输入正确的报告期。如：2019/10/1" sqref="C3:C7">
      <formula1>32874</formula1>
      <formula2>2958101</formula2>
    </dataValidation>
    <dataValidation type="date" operator="between" allowBlank="1" showInputMessage="1" showErrorMessage="1" errorTitle="错误：" error="请填写正确的日期格式数据。如：2016/10/18" promptTitle="提示：" prompt="应填写正确的日期格式数据。如：2016/10/18" sqref="C10:C14">
      <formula1>1</formula1>
      <formula2>2958101</formula2>
    </dataValidation>
    <dataValidation type="date" operator="between" allowBlank="1" showInputMessage="1" showErrorMessage="1" errorTitle="错误：" error="请填写正确的日期格式数据。如：2018/8/28" promptTitle="提示：" prompt="应填写正确的日期格式数据。如：2018/8/28" sqref="C24:C28">
      <formula1>1</formula1>
      <formula2>2958101</formula2>
    </dataValidation>
    <dataValidation type="decimal" operator="between" allowBlank="1" showInputMessage="1" showErrorMessage="1" errorTitle="错误：" error="请填写0-1之间的非负百分数，并保留两位小数 如：32.34%" promptTitle="提示：" prompt="应填写非负百分数，并保留两位小数 如：32.34%" sqref="D3:D7">
      <formula1>0</formula1>
      <formula2>1</formula2>
    </dataValidation>
    <dataValidation type="textLength" operator="lessThanOrEqual" allowBlank="1" showInputMessage="1" showErrorMessage="1" errorTitle="错误：" error="请输入文本，长度不大于20！" promptTitle="提示：" prompt="应输入文本，长度不大于20" sqref="D10:D14">
      <formula1>20</formula1>
    </dataValidation>
    <dataValidation type="list" allowBlank="1" showInputMessage="1" showErrorMessage="1" sqref="E10:E14 E17:F21">
      <formula1>sponsorRole</formula1>
    </dataValidation>
    <dataValidation type="decimal" operator="between" allowBlank="1" showInputMessage="1" showErrorMessage="1" errorTitle="错误：" error="应填写0-1之间的非负百分数，并保留两位小数 如：32.34%" promptTitle="提示：" prompt="应填写非负百分数，并保留两位小数 如：32.34%" sqref="I3:I7 E3:F7">
      <formula1>0</formula1>
      <formula2>1</formula2>
    </dataValidation>
    <dataValidation type="whole" operator="between" allowBlank="1" showInputMessage="1" showErrorMessage="1" errorTitle="错误：" error="请填写4位以内的正整数。如：第3名仅需填写整数3！" promptTitle="提示：" prompt="应填写4位以内的正整数。如：第3名仅需填写整数3" sqref="J3:J7 G3:H7">
      <formula1>1</formula1>
      <formula2>9999</formula2>
    </dataValidation>
    <dataValidation type="list" allowBlank="1" showInputMessage="1" showErrorMessage="1" sqref="C17:D21">
      <formula1>standardLEvel</formula1>
    </dataValidation>
    <dataValidation type="textLength" operator="lessThanOrEqual" allowBlank="1" showInputMessage="1" showErrorMessage="1" errorTitle="错误：" error="应请输入文本，长度不大于20！" promptTitle="提示：" prompt="应输入文本，长度不大于20" sqref="G17:H21">
      <formula1>20</formula1>
    </dataValidation>
    <dataValidation type="textLength" operator="lessThanOrEqual" allowBlank="1" showInputMessage="1" showErrorMessage="1" errorTitle="错误：" error="请输入文本，长度不大于500。" promptTitle="提示：" prompt="应输入文本，长度不大于500" sqref="I17:J21 G24:J28">
      <formula1>500</formula1>
    </dataValidation>
    <dataValidation type="decimal" operator="between" allowBlank="1" showInputMessage="1" showErrorMessage="1" errorTitle="错误：" error="请输入整数位不超过10位、小数位不超过4位的非负数字！" promptTitle="提示：" prompt="应填写非负数字，并保留四位小数 如：5000.1234" sqref="F10:H14">
      <formula1>0</formula1>
      <formula2>9999999999.9999</formula2>
    </dataValidation>
    <dataValidation type="decimal" operator="between" allowBlank="1" showInputMessage="1" showErrorMessage="1" errorTitle="错误：" error="请填写0-1之间的非负百分数，并保留两位小数 如：32.34%" promptTitle="提示：" prompt="应填写百分数，并保留两位小数 如：32.34%" sqref="D24:F28">
      <formula1>0</formula1>
      <formula2>1</formula2>
    </dataValidation>
    <dataValidation type="textLength" operator="lessThanOrEqual" allowBlank="1" showInputMessage="1" showErrorMessage="1" errorTitle="错误;" error="请输入文本，长度不超过500！" promptTitle="提示：" prompt="应输入文本，长度不大于500" sqref="I10:J14">
      <formula1>500</formula1>
    </dataValidation>
  </dataValidations>
  <pageMargins left="0.699305555555556" right="0.699305555555556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E24"/>
  <sheetViews>
    <sheetView workbookViewId="0">
      <selection activeCell="A2" sqref="A2"/>
    </sheetView>
  </sheetViews>
  <sheetFormatPr defaultColWidth="8.8359375" defaultRowHeight="14" outlineLevelCol="4"/>
  <cols>
    <col min="1" max="1" width="30" customWidth="1"/>
    <col min="2" max="2" width="31.1640625" customWidth="1"/>
    <col min="3" max="3" width="38.3359375" customWidth="1"/>
    <col min="4" max="4" width="41" customWidth="1"/>
    <col min="5" max="5" width="22.8359375" style="89" customWidth="1"/>
  </cols>
  <sheetData>
    <row r="1" ht="55.5" customHeight="1" spans="1:5">
      <c r="A1" s="90" t="s">
        <v>219</v>
      </c>
      <c r="B1" s="91" t="s">
        <v>220</v>
      </c>
      <c r="C1" s="91" t="s">
        <v>221</v>
      </c>
      <c r="D1" s="91" t="s">
        <v>222</v>
      </c>
      <c r="E1"/>
    </row>
    <row r="2" ht="20" customHeight="1" spans="1:5">
      <c r="A2" s="92"/>
      <c r="B2" s="92"/>
      <c r="C2" s="93"/>
      <c r="D2" s="92"/>
      <c r="E2"/>
    </row>
    <row r="3" ht="20" customHeight="1" spans="1:5">
      <c r="A3" s="92"/>
      <c r="B3" s="92"/>
      <c r="C3" s="93"/>
      <c r="D3" s="92"/>
      <c r="E3"/>
    </row>
    <row r="4" ht="20" customHeight="1" spans="1:5">
      <c r="A4" s="92"/>
      <c r="B4" s="92"/>
      <c r="C4" s="93"/>
      <c r="D4" s="92"/>
      <c r="E4"/>
    </row>
    <row r="5" ht="20" customHeight="1" spans="1:5">
      <c r="A5" s="92"/>
      <c r="B5" s="92"/>
      <c r="C5" s="93"/>
      <c r="D5" s="92"/>
      <c r="E5"/>
    </row>
    <row r="6" ht="20" customHeight="1" spans="1:5">
      <c r="A6" s="92"/>
      <c r="B6" s="92"/>
      <c r="C6" s="93"/>
      <c r="D6" s="92"/>
      <c r="E6"/>
    </row>
    <row r="7" ht="20" customHeight="1" spans="1:5">
      <c r="A7" s="92"/>
      <c r="B7" s="92"/>
      <c r="C7" s="93"/>
      <c r="D7" s="92"/>
      <c r="E7"/>
    </row>
    <row r="8" ht="20" customHeight="1" spans="1:5">
      <c r="A8" s="92"/>
      <c r="B8" s="92"/>
      <c r="C8" s="93"/>
      <c r="D8" s="92"/>
      <c r="E8"/>
    </row>
    <row r="9" ht="20" customHeight="1" spans="1:5">
      <c r="A9" s="92"/>
      <c r="B9" s="92"/>
      <c r="C9" s="93"/>
      <c r="D9" s="92"/>
      <c r="E9"/>
    </row>
    <row r="10" ht="20" customHeight="1" spans="1:5">
      <c r="A10" s="92"/>
      <c r="B10" s="92"/>
      <c r="C10" s="93"/>
      <c r="D10" s="92"/>
      <c r="E10"/>
    </row>
    <row r="11" ht="20" customHeight="1" spans="1:5">
      <c r="A11" s="92"/>
      <c r="B11" s="92"/>
      <c r="C11" s="93"/>
      <c r="D11" s="92"/>
      <c r="E11"/>
    </row>
    <row r="12" ht="20" customHeight="1" spans="1:5">
      <c r="A12" s="92"/>
      <c r="B12" s="92"/>
      <c r="C12" s="93"/>
      <c r="D12" s="92"/>
      <c r="E12"/>
    </row>
    <row r="13" ht="20" customHeight="1" spans="1:5">
      <c r="A13" s="92"/>
      <c r="B13" s="92"/>
      <c r="C13" s="93"/>
      <c r="D13" s="92"/>
      <c r="E13"/>
    </row>
    <row r="14" ht="20" customHeight="1" spans="1:5">
      <c r="A14" s="92"/>
      <c r="B14" s="92"/>
      <c r="C14" s="93"/>
      <c r="D14" s="92"/>
      <c r="E14"/>
    </row>
    <row r="15" ht="20" customHeight="1" spans="1:5">
      <c r="A15" s="92"/>
      <c r="B15" s="92"/>
      <c r="C15" s="93"/>
      <c r="D15" s="92"/>
      <c r="E15"/>
    </row>
    <row r="16" ht="20" customHeight="1" spans="1:5">
      <c r="A16" s="92"/>
      <c r="B16" s="92"/>
      <c r="C16" s="93"/>
      <c r="D16" s="92"/>
      <c r="E16"/>
    </row>
    <row r="17" ht="20" customHeight="1" spans="1:5">
      <c r="A17" s="92"/>
      <c r="B17" s="92"/>
      <c r="C17" s="93"/>
      <c r="D17" s="92"/>
      <c r="E17"/>
    </row>
    <row r="18" ht="20" customHeight="1" spans="1:5">
      <c r="A18" s="92"/>
      <c r="B18" s="92"/>
      <c r="C18" s="93"/>
      <c r="D18" s="92"/>
      <c r="E18"/>
    </row>
    <row r="19" ht="20" customHeight="1" spans="1:5">
      <c r="A19" s="92"/>
      <c r="B19" s="92"/>
      <c r="C19" s="93"/>
      <c r="D19" s="92"/>
      <c r="E19"/>
    </row>
    <row r="20" ht="20" customHeight="1" spans="1:5">
      <c r="A20" s="92"/>
      <c r="B20" s="92"/>
      <c r="C20" s="93"/>
      <c r="D20" s="92"/>
      <c r="E20"/>
    </row>
    <row r="21" ht="20" customHeight="1" spans="1:5">
      <c r="A21" s="92"/>
      <c r="B21" s="92"/>
      <c r="C21" s="93"/>
      <c r="D21" s="92"/>
      <c r="E21"/>
    </row>
    <row r="22" spans="5:5">
      <c r="E22"/>
    </row>
    <row r="23" spans="5:5">
      <c r="E23"/>
    </row>
    <row r="24" spans="5:5">
      <c r="E24"/>
    </row>
  </sheetData>
  <sheetProtection password="C616" sheet="1" objects="1" scenarios="1"/>
  <dataValidations count="4">
    <dataValidation allowBlank="1" showInputMessage="1" showErrorMessage="1" promptTitle="提示：" prompt="应填写中文或英文 如：**有限公司或张三" sqref="A2:A21"/>
    <dataValidation allowBlank="1" showInputMessage="1" showErrorMessage="1" promptTitle="提示：" prompt="应填写职位类型 如：发行人或董事" sqref="B2:B21"/>
    <dataValidation type="textLength" operator="greaterThanOrEqual" allowBlank="1" showInputMessage="1" showErrorMessage="1" promptTitle="提示：" prompt="法人填写股票代码、组织机构代码，自然人填写身份证号。" sqref="C2:C21">
      <formula1>0</formula1>
    </dataValidation>
    <dataValidation type="textLength" operator="lessThanOrEqual" allowBlank="1" showInputMessage="1" showErrorMessage="1" errorTitle="错误：" error="请填写文本，长度不超过100！" promptTitle="提示：" prompt="自然人填写任职单位 如：XX股份有限公司" sqref="D2:D21">
      <formula1>100</formula1>
    </dataValidation>
  </dataValidations>
  <pageMargins left="0.699305555555556" right="0.699305555555556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V100"/>
  <sheetViews>
    <sheetView workbookViewId="0">
      <selection activeCell="B17" sqref="B17"/>
    </sheetView>
  </sheetViews>
  <sheetFormatPr defaultColWidth="8.8359375" defaultRowHeight="14"/>
  <cols>
    <col min="1" max="1" width="29.5" customWidth="1"/>
    <col min="2" max="2" width="30.5" customWidth="1"/>
    <col min="3" max="3" width="25.1640625" customWidth="1"/>
    <col min="4" max="5" width="6.6640625" customWidth="1"/>
    <col min="6" max="6" width="3.8359375" customWidth="1"/>
    <col min="7" max="7" width="12.5" customWidth="1"/>
    <col min="9" max="9" width="16.8359375" customWidth="1"/>
    <col min="11" max="11" width="13.1640625" customWidth="1"/>
    <col min="13" max="13" width="6.6640625" customWidth="1"/>
    <col min="15" max="15" width="20.8359375" customWidth="1"/>
    <col min="16" max="16" width="11.8359375" style="13" customWidth="1"/>
    <col min="17" max="17" width="38.8359375" customWidth="1"/>
    <col min="18" max="18" width="26.6640625" style="13" customWidth="1"/>
    <col min="19" max="19" width="11.1640625" customWidth="1"/>
    <col min="21" max="21" width="13.1640625" customWidth="1"/>
    <col min="23" max="23" width="17.1640625" customWidth="1"/>
    <col min="24" max="24" width="16.1640625" customWidth="1"/>
  </cols>
  <sheetData>
    <row r="1" ht="18" spans="1:18">
      <c r="A1" s="61" t="s">
        <v>223</v>
      </c>
      <c r="B1" s="61"/>
      <c r="C1" s="61" t="s">
        <v>224</v>
      </c>
      <c r="D1" s="61" t="s">
        <v>225</v>
      </c>
      <c r="E1" s="61" t="s">
        <v>226</v>
      </c>
      <c r="F1" s="61" t="s">
        <v>227</v>
      </c>
      <c r="G1" s="61" t="s">
        <v>228</v>
      </c>
      <c r="H1" s="61" t="s">
        <v>227</v>
      </c>
      <c r="I1" s="61" t="s">
        <v>229</v>
      </c>
      <c r="J1" s="61" t="s">
        <v>230</v>
      </c>
      <c r="K1" s="69" t="s">
        <v>231</v>
      </c>
      <c r="L1" s="70" t="s">
        <v>232</v>
      </c>
      <c r="M1" s="69" t="s">
        <v>233</v>
      </c>
      <c r="N1" s="79" t="s">
        <v>232</v>
      </c>
      <c r="O1" s="69" t="s">
        <v>234</v>
      </c>
      <c r="P1" s="80" t="s">
        <v>235</v>
      </c>
      <c r="Q1" s="86" t="s">
        <v>236</v>
      </c>
      <c r="R1" s="13" t="s">
        <v>237</v>
      </c>
    </row>
    <row r="2" ht="17.6" spans="1:18">
      <c r="A2" s="62" t="s">
        <v>238</v>
      </c>
      <c r="B2" s="18"/>
      <c r="C2" s="17" t="s">
        <v>239</v>
      </c>
      <c r="D2" s="17">
        <v>1</v>
      </c>
      <c r="E2" s="66" t="s">
        <v>240</v>
      </c>
      <c r="F2" s="67" t="s">
        <v>241</v>
      </c>
      <c r="G2" s="66" t="s">
        <v>242</v>
      </c>
      <c r="H2" s="67" t="s">
        <v>241</v>
      </c>
      <c r="I2" s="71" t="s">
        <v>243</v>
      </c>
      <c r="J2" s="72" t="s">
        <v>241</v>
      </c>
      <c r="K2" s="73" t="s">
        <v>244</v>
      </c>
      <c r="L2" s="74">
        <v>1</v>
      </c>
      <c r="M2" s="73" t="s">
        <v>245</v>
      </c>
      <c r="N2" s="81">
        <v>1</v>
      </c>
      <c r="O2" s="73" t="s">
        <v>246</v>
      </c>
      <c r="P2" s="82" t="s">
        <v>247</v>
      </c>
      <c r="Q2" t="s">
        <v>248</v>
      </c>
      <c r="R2" s="13" t="s">
        <v>247</v>
      </c>
    </row>
    <row r="3" ht="17.6" spans="1:18">
      <c r="A3" s="17"/>
      <c r="B3" s="18"/>
      <c r="C3" s="17" t="s">
        <v>249</v>
      </c>
      <c r="D3" s="17">
        <v>0</v>
      </c>
      <c r="E3" s="66" t="s">
        <v>250</v>
      </c>
      <c r="F3" s="67" t="s">
        <v>251</v>
      </c>
      <c r="G3" s="66" t="s">
        <v>252</v>
      </c>
      <c r="H3" s="67" t="s">
        <v>251</v>
      </c>
      <c r="I3" s="71" t="s">
        <v>253</v>
      </c>
      <c r="J3" s="72" t="s">
        <v>251</v>
      </c>
      <c r="K3" s="73" t="s">
        <v>254</v>
      </c>
      <c r="L3" s="74">
        <v>2</v>
      </c>
      <c r="M3" s="73" t="s">
        <v>255</v>
      </c>
      <c r="N3" s="81">
        <v>2</v>
      </c>
      <c r="O3" s="73" t="s">
        <v>256</v>
      </c>
      <c r="P3" s="82" t="s">
        <v>257</v>
      </c>
      <c r="Q3" t="s">
        <v>258</v>
      </c>
      <c r="R3" s="13" t="s">
        <v>257</v>
      </c>
    </row>
    <row r="4" ht="17.6" spans="1:18">
      <c r="A4" s="18"/>
      <c r="B4" s="18"/>
      <c r="C4" s="18"/>
      <c r="D4" s="18"/>
      <c r="E4" s="18"/>
      <c r="F4" s="18"/>
      <c r="G4" s="66" t="s">
        <v>259</v>
      </c>
      <c r="H4" s="67" t="s">
        <v>260</v>
      </c>
      <c r="I4" s="71" t="s">
        <v>261</v>
      </c>
      <c r="J4" s="72" t="s">
        <v>260</v>
      </c>
      <c r="K4" s="75" t="s">
        <v>262</v>
      </c>
      <c r="L4" s="76">
        <v>3</v>
      </c>
      <c r="M4" s="73" t="s">
        <v>263</v>
      </c>
      <c r="N4" s="81">
        <v>3</v>
      </c>
      <c r="O4" s="73" t="s">
        <v>264</v>
      </c>
      <c r="P4" s="82" t="s">
        <v>265</v>
      </c>
      <c r="Q4" t="s">
        <v>266</v>
      </c>
      <c r="R4" s="13" t="s">
        <v>265</v>
      </c>
    </row>
    <row r="5" ht="17.6" spans="1:18">
      <c r="A5" s="18"/>
      <c r="B5" s="18"/>
      <c r="C5" s="18"/>
      <c r="D5" s="18"/>
      <c r="E5" s="18"/>
      <c r="F5" s="18"/>
      <c r="G5" s="66" t="s">
        <v>267</v>
      </c>
      <c r="H5" s="67" t="s">
        <v>268</v>
      </c>
      <c r="I5" s="71" t="s">
        <v>269</v>
      </c>
      <c r="J5" s="77" t="s">
        <v>268</v>
      </c>
      <c r="M5" s="73" t="s">
        <v>270</v>
      </c>
      <c r="N5" s="81">
        <v>4</v>
      </c>
      <c r="O5" s="75" t="s">
        <v>271</v>
      </c>
      <c r="P5" s="83" t="s">
        <v>272</v>
      </c>
      <c r="Q5" t="s">
        <v>273</v>
      </c>
      <c r="R5" s="13" t="s">
        <v>272</v>
      </c>
    </row>
    <row r="6" ht="17.6" spans="1:22">
      <c r="A6" s="18"/>
      <c r="B6" s="18"/>
      <c r="C6" s="18"/>
      <c r="D6" s="18"/>
      <c r="E6" s="18"/>
      <c r="F6" s="18"/>
      <c r="G6" s="68"/>
      <c r="H6" s="33"/>
      <c r="I6" s="66" t="s">
        <v>274</v>
      </c>
      <c r="J6" s="78" t="s">
        <v>275</v>
      </c>
      <c r="K6" s="18"/>
      <c r="L6" s="18"/>
      <c r="M6" s="84" t="s">
        <v>274</v>
      </c>
      <c r="N6" s="85">
        <v>99</v>
      </c>
      <c r="Q6" t="s">
        <v>276</v>
      </c>
      <c r="R6" s="13" t="s">
        <v>277</v>
      </c>
      <c r="U6" s="18"/>
      <c r="V6" s="18"/>
    </row>
    <row r="7" ht="17.6" spans="1:2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Q7" t="s">
        <v>278</v>
      </c>
      <c r="R7" s="13" t="s">
        <v>279</v>
      </c>
      <c r="U7" s="18"/>
      <c r="V7" s="18"/>
    </row>
    <row r="8" ht="17.6" spans="1:2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Q8" t="s">
        <v>280</v>
      </c>
      <c r="R8" s="13" t="s">
        <v>281</v>
      </c>
      <c r="U8" s="18"/>
      <c r="V8" s="18"/>
    </row>
    <row r="9" ht="17.6" spans="1:2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U9" s="18"/>
      <c r="V9" s="18"/>
    </row>
    <row r="10" ht="17.6" spans="1:2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U10" s="18"/>
      <c r="V10" s="18"/>
    </row>
    <row r="11" ht="17.6" spans="1:2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U11" s="18"/>
      <c r="V11" s="18"/>
    </row>
    <row r="12" ht="17.6" spans="1:22">
      <c r="A12" s="18"/>
      <c r="B12" s="18"/>
      <c r="C12" s="18"/>
      <c r="D12" s="18"/>
      <c r="E12" s="18"/>
      <c r="F12" s="18"/>
      <c r="G12" s="18"/>
      <c r="H12" s="18"/>
      <c r="K12" s="18"/>
      <c r="L12" s="18"/>
      <c r="U12" s="18"/>
      <c r="V12" s="18"/>
    </row>
    <row r="13" ht="17.6" spans="1:22">
      <c r="A13" s="18"/>
      <c r="B13" s="18"/>
      <c r="C13" s="18"/>
      <c r="D13" s="18"/>
      <c r="E13" s="18"/>
      <c r="F13" s="18"/>
      <c r="G13" s="18"/>
      <c r="H13" s="18"/>
      <c r="K13" s="18"/>
      <c r="L13" s="18"/>
      <c r="U13" s="18"/>
      <c r="V13" s="18"/>
    </row>
    <row r="14" ht="17.6" spans="1:22">
      <c r="A14" s="18"/>
      <c r="B14" s="18"/>
      <c r="C14" s="18"/>
      <c r="D14" s="18"/>
      <c r="E14" s="18"/>
      <c r="F14" s="18"/>
      <c r="G14" s="18"/>
      <c r="H14" s="18"/>
      <c r="K14" s="18"/>
      <c r="L14" s="18"/>
      <c r="U14" s="18"/>
      <c r="V14" s="18"/>
    </row>
    <row r="15" ht="17.6" spans="1:22">
      <c r="A15" s="18"/>
      <c r="B15" s="18"/>
      <c r="C15" s="18"/>
      <c r="D15" s="18"/>
      <c r="E15" s="18"/>
      <c r="F15" s="18"/>
      <c r="G15" s="18"/>
      <c r="H15" s="18"/>
      <c r="K15" s="18"/>
      <c r="L15" s="18"/>
      <c r="U15" s="18"/>
      <c r="V15" s="18"/>
    </row>
    <row r="16" ht="17.6" spans="1:22">
      <c r="A16" s="18"/>
      <c r="B16" s="18"/>
      <c r="C16" s="18"/>
      <c r="D16" s="18"/>
      <c r="E16" s="18"/>
      <c r="F16" s="18"/>
      <c r="G16" s="18"/>
      <c r="H16" s="18"/>
      <c r="K16" s="18"/>
      <c r="L16" s="18"/>
      <c r="U16" s="18"/>
      <c r="V16" s="18"/>
    </row>
    <row r="34" spans="1:1">
      <c r="A34" t="s">
        <v>282</v>
      </c>
    </row>
    <row r="35" spans="1:1">
      <c r="A35" t="str">
        <f>IFERROR(VLOOKUP(项目基本情况表!E19,数据字典!Q:R,2,0),"")</f>
        <v/>
      </c>
    </row>
    <row r="39" spans="1:1">
      <c r="A39" t="s">
        <v>283</v>
      </c>
    </row>
    <row r="40" spans="1:1">
      <c r="A40" t="str">
        <f>IFERROR(VLOOKUP(项目基本情况表!E14,数据字典!O:P,2,0),"")</f>
        <v/>
      </c>
    </row>
    <row r="49" spans="1:1">
      <c r="A49" t="s">
        <v>284</v>
      </c>
    </row>
    <row r="50" ht="17.6" spans="1:1">
      <c r="A50" s="63" t="b">
        <v>0</v>
      </c>
    </row>
    <row r="51" ht="17.6" spans="1:1">
      <c r="A51" s="64" t="b">
        <v>0</v>
      </c>
    </row>
    <row r="52" ht="17.6" spans="1:1">
      <c r="A52" s="64" t="b">
        <v>0</v>
      </c>
    </row>
    <row r="60" spans="1:3">
      <c r="A60" s="65" t="s">
        <v>285</v>
      </c>
      <c r="B60" s="65"/>
      <c r="C60" s="65"/>
    </row>
    <row r="61" spans="1:3">
      <c r="A61" s="65" t="str">
        <f>CONCATENATE(项目基本情况表!B5,"_zjh")</f>
        <v>_zjh</v>
      </c>
      <c r="B61" s="65"/>
      <c r="C61" s="65"/>
    </row>
    <row r="62" spans="1:3">
      <c r="A62" s="65" t="s">
        <v>286</v>
      </c>
      <c r="B62" s="65"/>
      <c r="C62" s="65"/>
    </row>
    <row r="63" spans="1:3">
      <c r="A63" s="65" t="str">
        <f>CONCATENATE(项目基本情况表!B6,"_sw")</f>
        <v>_sw</v>
      </c>
      <c r="B63" s="65"/>
      <c r="C63" s="65"/>
    </row>
    <row r="64" spans="1:3">
      <c r="A64" s="65"/>
      <c r="B64" s="65"/>
      <c r="C64" s="65"/>
    </row>
    <row r="65" spans="1:3">
      <c r="A65" s="65"/>
      <c r="B65" s="65"/>
      <c r="C65" s="65"/>
    </row>
    <row r="66" spans="1:3">
      <c r="A66" s="65"/>
      <c r="B66" s="65"/>
      <c r="C66" s="65"/>
    </row>
    <row r="67" spans="1:3">
      <c r="A67" s="65"/>
      <c r="B67" s="65"/>
      <c r="C67" s="65"/>
    </row>
    <row r="68" spans="1:3">
      <c r="A68" s="65"/>
      <c r="B68" s="65"/>
      <c r="C68" s="65"/>
    </row>
    <row r="69" spans="1:3">
      <c r="A69" s="65" t="s">
        <v>287</v>
      </c>
      <c r="B69" s="65" t="s">
        <v>288</v>
      </c>
      <c r="C69" s="65"/>
    </row>
    <row r="70" spans="1:3">
      <c r="A70" s="87" t="str">
        <f>IFERROR(VLOOKUP(项目基本情况表!B11,省市数据!A:B,2,0),"")</f>
        <v/>
      </c>
      <c r="B70" s="87" t="str">
        <f>IFERROR(VLOOKUP(项目基本情况表!E11,省市数据!D:E,2,0),"")</f>
        <v/>
      </c>
      <c r="C70" s="65"/>
    </row>
    <row r="71" spans="1:3">
      <c r="A71" s="65"/>
      <c r="B71" s="65"/>
      <c r="C71" s="65"/>
    </row>
    <row r="72" spans="1:3">
      <c r="A72" s="65"/>
      <c r="B72" s="65"/>
      <c r="C72" s="65"/>
    </row>
    <row r="73" spans="1:3">
      <c r="A73" s="65"/>
      <c r="B73" s="65"/>
      <c r="C73" s="65"/>
    </row>
    <row r="74" spans="1:3">
      <c r="A74" s="65" t="s">
        <v>289</v>
      </c>
      <c r="B74" s="65" t="s">
        <v>290</v>
      </c>
      <c r="C74" s="65"/>
    </row>
    <row r="75" spans="1:3">
      <c r="A75" s="65" t="str">
        <f>IFERROR(VLOOKUP(项目基本情况表!B6,申万行业数据!A:B,2,0),"")</f>
        <v/>
      </c>
      <c r="B75" s="65" t="str">
        <f>IFERROR(VLOOKUP(项目基本情况表!E6,申万行业数据!D:E,2,0),"")</f>
        <v/>
      </c>
      <c r="C75" s="65"/>
    </row>
    <row r="76" spans="1:3">
      <c r="A76" s="65"/>
      <c r="B76" s="65"/>
      <c r="C76" s="65"/>
    </row>
    <row r="77" spans="1:3">
      <c r="A77" s="65"/>
      <c r="B77" s="65"/>
      <c r="C77" s="65"/>
    </row>
    <row r="78" spans="1:3">
      <c r="A78" s="65"/>
      <c r="B78" s="65"/>
      <c r="C78" s="65"/>
    </row>
    <row r="79" spans="1:3">
      <c r="A79" s="65" t="s">
        <v>291</v>
      </c>
      <c r="B79" s="65" t="s">
        <v>292</v>
      </c>
      <c r="C79" s="65"/>
    </row>
    <row r="80" spans="1:3">
      <c r="A80" s="65" t="str">
        <f>IFERROR(VLOOKUP(项目基本情况表!B5,证监会行业数据!A:B,2,0),"")</f>
        <v/>
      </c>
      <c r="B80" s="65" t="str">
        <f>IFERROR(VLOOKUP(项目基本情况表!E5,证监会行业数据!D:E,2,0),"")</f>
        <v/>
      </c>
      <c r="C80" s="65"/>
    </row>
    <row r="81" spans="1:3">
      <c r="A81" s="65"/>
      <c r="B81" s="65"/>
      <c r="C81" s="65"/>
    </row>
    <row r="82" spans="1:3">
      <c r="A82" s="65"/>
      <c r="B82" s="65"/>
      <c r="C82" s="65"/>
    </row>
    <row r="83" spans="1:3">
      <c r="A83" s="65"/>
      <c r="B83" s="65"/>
      <c r="C83" s="65"/>
    </row>
    <row r="84" spans="1:3">
      <c r="A84" s="65" t="s">
        <v>293</v>
      </c>
      <c r="B84" s="65" t="s">
        <v>294</v>
      </c>
      <c r="C84" s="65" t="s">
        <v>295</v>
      </c>
    </row>
    <row r="85" spans="1:3">
      <c r="A85" s="65" t="str">
        <f>IF(项目基本情况表!B8="","",TEXT(项目基本情况表!B8,"YYYY-MM-dd"))</f>
        <v/>
      </c>
      <c r="B85" s="65" t="str">
        <f>IF(项目基本情况表!B14="","",TEXT(项目基本情况表!B14,"YYYY-MM-dd"))</f>
        <v/>
      </c>
      <c r="C85" s="65" t="str">
        <f>IF(项目基本情况表!E17="","",项目基本情况表!E17)</f>
        <v/>
      </c>
    </row>
    <row r="86" spans="1:3">
      <c r="A86" s="65"/>
      <c r="B86" s="65"/>
      <c r="C86" s="65"/>
    </row>
    <row r="87" spans="1:3">
      <c r="A87" s="65"/>
      <c r="B87" s="65"/>
      <c r="C87" s="65"/>
    </row>
    <row r="88" spans="1:3">
      <c r="A88" s="65"/>
      <c r="B88" s="65"/>
      <c r="C88" s="65"/>
    </row>
    <row r="89" spans="1:3">
      <c r="A89" s="65" t="s">
        <v>296</v>
      </c>
      <c r="B89" s="65"/>
      <c r="C89" s="65"/>
    </row>
    <row r="90" spans="1:3">
      <c r="A90" s="65" t="str">
        <f>IFERROR(VLOOKUP(项目基本情况表!E3,数据字典!G:H,2,0),"")</f>
        <v/>
      </c>
      <c r="B90" s="65"/>
      <c r="C90" s="65"/>
    </row>
    <row r="91" spans="1:3">
      <c r="A91" s="65"/>
      <c r="B91" s="65"/>
      <c r="C91" s="65"/>
    </row>
    <row r="92" spans="1:3">
      <c r="A92" s="65"/>
      <c r="B92" s="65"/>
      <c r="C92" s="65"/>
    </row>
    <row r="93" spans="1:3">
      <c r="A93" s="65"/>
      <c r="B93" s="65"/>
      <c r="C93" s="65"/>
    </row>
    <row r="94" ht="16.8" spans="1:3">
      <c r="A94" s="88" t="s">
        <v>297</v>
      </c>
      <c r="B94" s="65"/>
      <c r="C94" s="65"/>
    </row>
    <row r="95" spans="1:1">
      <c r="A95" t="str">
        <f>IFERROR(VLOOKUP(项目基本情况表!B12,证监局数据!A:B,2,0),"")</f>
        <v/>
      </c>
    </row>
    <row r="99" spans="1:4">
      <c r="A99" s="13" t="s">
        <v>298</v>
      </c>
      <c r="B99" s="13" t="s">
        <v>299</v>
      </c>
      <c r="C99" s="13" t="s">
        <v>300</v>
      </c>
      <c r="D99" s="13" t="s">
        <v>301</v>
      </c>
    </row>
    <row r="100" spans="1:4">
      <c r="A100" s="65" t="str">
        <f>IF(财务基础数据!B3="","",TEXT(财务基础数据!B3,"YYYY-MM-dd"))</f>
        <v/>
      </c>
      <c r="B100" s="65" t="str">
        <f>IF(财务基础数据!C3="","",TEXT(财务基础数据!C3,"YYYY-MM-dd"))</f>
        <v/>
      </c>
      <c r="C100" s="65" t="str">
        <f>IF(财务基础数据!D3="","",TEXT(财务基础数据!D3,"YYYY-MM-dd"))</f>
        <v/>
      </c>
      <c r="D100" s="65" t="str">
        <f>IF(财务基础数据!E3="","",TEXT(财务基础数据!E3,"YYYY-MM-dd"))</f>
        <v/>
      </c>
    </row>
  </sheetData>
  <sheetProtection password="C616" sheet="1" objects="1" scenarios="1"/>
  <pageMargins left="0.699305555555556" right="0.699305555555556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O110"/>
  <sheetViews>
    <sheetView topLeftCell="A4" workbookViewId="0">
      <selection activeCell="B37" sqref="B37"/>
    </sheetView>
  </sheetViews>
  <sheetFormatPr defaultColWidth="8.8359375" defaultRowHeight="14"/>
  <cols>
    <col min="1" max="1" width="37.3359375" customWidth="1"/>
    <col min="2" max="2" width="34.8359375" customWidth="1"/>
    <col min="3" max="3" width="21.8359375" customWidth="1"/>
    <col min="4" max="4" width="11" style="19" customWidth="1"/>
    <col min="5" max="5" width="9" style="19"/>
    <col min="15" max="15" width="32.6640625" customWidth="1"/>
  </cols>
  <sheetData>
    <row r="1" ht="34.5" customHeight="1" spans="1:5">
      <c r="A1" s="50" t="s">
        <v>302</v>
      </c>
      <c r="B1" s="51"/>
      <c r="C1" s="51"/>
      <c r="D1" s="51"/>
      <c r="E1" s="56"/>
    </row>
    <row r="2" ht="16" spans="1:15">
      <c r="A2" s="1" t="s">
        <v>303</v>
      </c>
      <c r="B2" s="4" t="s">
        <v>232</v>
      </c>
      <c r="C2" s="3" t="s">
        <v>304</v>
      </c>
      <c r="D2" s="4" t="s">
        <v>305</v>
      </c>
      <c r="E2" s="57" t="s">
        <v>306</v>
      </c>
      <c r="O2" t="str">
        <f>CONCATENATE("保荐机构一_",联系方式!E10)</f>
        <v>保荐机构一_统一社会信用代码*</v>
      </c>
    </row>
    <row r="3" ht="24" customHeight="1" spans="1:15">
      <c r="A3" s="52" t="s">
        <v>307</v>
      </c>
      <c r="B3" s="4" t="s">
        <v>308</v>
      </c>
      <c r="C3" s="4" t="s">
        <v>309</v>
      </c>
      <c r="D3" s="4">
        <v>256</v>
      </c>
      <c r="E3" s="57">
        <v>1</v>
      </c>
      <c r="O3" t="str">
        <f>CONCATENATE("保荐机构二_",联系方式!E16)</f>
        <v>保荐机构二_统一社会信用代码</v>
      </c>
    </row>
    <row r="4" ht="23.25" customHeight="1" spans="1:15">
      <c r="A4" s="52" t="s">
        <v>310</v>
      </c>
      <c r="B4" s="4" t="s">
        <v>311</v>
      </c>
      <c r="C4" s="4" t="s">
        <v>309</v>
      </c>
      <c r="D4" s="4">
        <v>128</v>
      </c>
      <c r="E4" s="57">
        <v>1</v>
      </c>
      <c r="O4" t="str">
        <f>CONCATENATE("保荐机构三_",联系方式!E22)</f>
        <v>保荐机构三_统一社会信用代码</v>
      </c>
    </row>
    <row r="5" ht="16" spans="1:15">
      <c r="A5" s="1" t="s">
        <v>42</v>
      </c>
      <c r="B5" s="4" t="s">
        <v>312</v>
      </c>
      <c r="C5" s="4" t="s">
        <v>309</v>
      </c>
      <c r="D5" s="4">
        <v>256</v>
      </c>
      <c r="E5" s="57">
        <v>0</v>
      </c>
      <c r="O5" t="str">
        <f>CONCATENATE("会计师事务所_",联系方式!E29)</f>
        <v>会计师事务所_统一社会信用代码</v>
      </c>
    </row>
    <row r="6" ht="16" spans="1:15">
      <c r="A6" s="1" t="s">
        <v>313</v>
      </c>
      <c r="B6" s="4" t="s">
        <v>314</v>
      </c>
      <c r="C6" s="4" t="s">
        <v>309</v>
      </c>
      <c r="D6" s="4"/>
      <c r="E6" s="57">
        <v>1</v>
      </c>
      <c r="O6" t="str">
        <f>CONCATENATE("律师事务所_",联系方式!E36)</f>
        <v>律师事务所_统一社会信用代码</v>
      </c>
    </row>
    <row r="7" ht="16" spans="1:15">
      <c r="A7" s="1" t="s">
        <v>315</v>
      </c>
      <c r="B7" s="4" t="s">
        <v>316</v>
      </c>
      <c r="C7" s="4" t="s">
        <v>309</v>
      </c>
      <c r="D7" s="4">
        <v>32</v>
      </c>
      <c r="E7" s="57">
        <v>1</v>
      </c>
      <c r="O7" t="str">
        <f>CONCATENATE("资产评估机构一_",联系方式!E43)</f>
        <v>资产评估机构一_统一社会信用代码</v>
      </c>
    </row>
    <row r="8" ht="16" spans="1:15">
      <c r="A8" s="1" t="s">
        <v>317</v>
      </c>
      <c r="B8" s="4" t="s">
        <v>318</v>
      </c>
      <c r="C8" s="4" t="s">
        <v>309</v>
      </c>
      <c r="D8" s="4">
        <v>1</v>
      </c>
      <c r="E8" s="57">
        <v>1</v>
      </c>
      <c r="O8" t="str">
        <f>CONCATENATE("资产评估机构二_",联系方式!E49)</f>
        <v>资产评估机构二_统一社会信用代码</v>
      </c>
    </row>
    <row r="9" ht="16" spans="1:5">
      <c r="A9" s="1" t="s">
        <v>319</v>
      </c>
      <c r="B9" s="4" t="s">
        <v>320</v>
      </c>
      <c r="C9" s="4" t="s">
        <v>309</v>
      </c>
      <c r="D9" s="4">
        <v>64</v>
      </c>
      <c r="E9" s="57">
        <v>1</v>
      </c>
    </row>
    <row r="10" ht="16" spans="1:5">
      <c r="A10" s="1" t="s">
        <v>321</v>
      </c>
      <c r="B10" s="4" t="s">
        <v>322</v>
      </c>
      <c r="C10" s="4" t="s">
        <v>309</v>
      </c>
      <c r="D10" s="4">
        <v>64</v>
      </c>
      <c r="E10" s="57">
        <v>1</v>
      </c>
    </row>
    <row r="11" ht="16" spans="1:6">
      <c r="A11" s="1" t="s">
        <v>323</v>
      </c>
      <c r="B11" s="4" t="s">
        <v>324</v>
      </c>
      <c r="C11" s="4" t="s">
        <v>309</v>
      </c>
      <c r="D11" s="4">
        <v>64</v>
      </c>
      <c r="E11" s="57">
        <v>1</v>
      </c>
      <c r="F11" s="58" t="s">
        <v>28</v>
      </c>
    </row>
    <row r="12" ht="16" spans="1:5">
      <c r="A12" s="1" t="s">
        <v>325</v>
      </c>
      <c r="B12" s="4" t="s">
        <v>326</v>
      </c>
      <c r="C12" s="4" t="s">
        <v>309</v>
      </c>
      <c r="D12" s="4">
        <v>64</v>
      </c>
      <c r="E12" s="57">
        <v>1</v>
      </c>
    </row>
    <row r="13" ht="16" spans="1:5">
      <c r="A13" s="1" t="s">
        <v>327</v>
      </c>
      <c r="B13" s="4" t="s">
        <v>328</v>
      </c>
      <c r="C13" s="4" t="s">
        <v>309</v>
      </c>
      <c r="D13" s="53">
        <v>512</v>
      </c>
      <c r="E13" s="57">
        <v>1</v>
      </c>
    </row>
    <row r="14" ht="16" spans="1:5">
      <c r="A14" s="1" t="s">
        <v>329</v>
      </c>
      <c r="B14" s="4" t="s">
        <v>330</v>
      </c>
      <c r="C14" s="4" t="s">
        <v>331</v>
      </c>
      <c r="D14" s="4"/>
      <c r="E14" s="57">
        <v>1</v>
      </c>
    </row>
    <row r="15" ht="16" spans="1:5">
      <c r="A15" s="1" t="s">
        <v>332</v>
      </c>
      <c r="B15" s="4" t="s">
        <v>333</v>
      </c>
      <c r="C15" s="4" t="s">
        <v>309</v>
      </c>
      <c r="D15" s="4">
        <v>1</v>
      </c>
      <c r="E15" s="57">
        <v>1</v>
      </c>
    </row>
    <row r="16" ht="16" spans="1:5">
      <c r="A16" s="1" t="s">
        <v>334</v>
      </c>
      <c r="B16" s="4" t="s">
        <v>335</v>
      </c>
      <c r="C16" s="4" t="s">
        <v>309</v>
      </c>
      <c r="D16" s="4">
        <v>1</v>
      </c>
      <c r="E16" s="57">
        <v>1</v>
      </c>
    </row>
    <row r="17" ht="16" spans="1:5">
      <c r="A17" s="1" t="s">
        <v>336</v>
      </c>
      <c r="B17" s="1" t="s">
        <v>337</v>
      </c>
      <c r="C17" s="4" t="s">
        <v>309</v>
      </c>
      <c r="D17" s="4">
        <v>1</v>
      </c>
      <c r="E17" s="4">
        <v>1</v>
      </c>
    </row>
    <row r="18" ht="16" spans="1:5">
      <c r="A18" s="1" t="s">
        <v>55</v>
      </c>
      <c r="B18" s="1" t="s">
        <v>338</v>
      </c>
      <c r="C18" s="4" t="s">
        <v>309</v>
      </c>
      <c r="D18" s="4"/>
      <c r="E18" s="4">
        <v>0</v>
      </c>
    </row>
    <row r="19" ht="16" spans="1:5">
      <c r="A19" s="1" t="s">
        <v>339</v>
      </c>
      <c r="B19" s="4" t="s">
        <v>340</v>
      </c>
      <c r="C19" s="4" t="s">
        <v>309</v>
      </c>
      <c r="D19" s="4">
        <v>64</v>
      </c>
      <c r="E19" s="57">
        <v>1</v>
      </c>
    </row>
    <row r="20" ht="16" spans="1:5">
      <c r="A20" s="1" t="s">
        <v>341</v>
      </c>
      <c r="B20" s="4" t="s">
        <v>342</v>
      </c>
      <c r="C20" s="4" t="s">
        <v>309</v>
      </c>
      <c r="D20" s="4">
        <v>64</v>
      </c>
      <c r="E20" s="57">
        <v>1</v>
      </c>
    </row>
    <row r="21" ht="16" spans="1:5">
      <c r="A21" s="1" t="s">
        <v>58</v>
      </c>
      <c r="B21" s="1" t="s">
        <v>343</v>
      </c>
      <c r="C21" s="4" t="s">
        <v>309</v>
      </c>
      <c r="D21" s="4">
        <v>50</v>
      </c>
      <c r="E21" s="4">
        <v>0</v>
      </c>
    </row>
    <row r="22" ht="16" spans="1:5">
      <c r="A22" s="1" t="s">
        <v>344</v>
      </c>
      <c r="B22" s="1" t="s">
        <v>345</v>
      </c>
      <c r="C22" s="4" t="s">
        <v>309</v>
      </c>
      <c r="D22" s="4">
        <v>256</v>
      </c>
      <c r="E22" s="4">
        <v>1</v>
      </c>
    </row>
    <row r="23" ht="16" spans="1:5">
      <c r="A23" s="1" t="s">
        <v>60</v>
      </c>
      <c r="B23" s="1" t="s">
        <v>346</v>
      </c>
      <c r="C23" s="4" t="s">
        <v>309</v>
      </c>
      <c r="D23" s="4">
        <v>256</v>
      </c>
      <c r="E23" s="4">
        <v>0</v>
      </c>
    </row>
    <row r="24" ht="16" spans="1:5">
      <c r="A24" s="1" t="s">
        <v>61</v>
      </c>
      <c r="B24" s="1" t="s">
        <v>347</v>
      </c>
      <c r="C24" s="1" t="s">
        <v>348</v>
      </c>
      <c r="D24" s="4">
        <v>15</v>
      </c>
      <c r="E24" s="4">
        <v>0</v>
      </c>
    </row>
    <row r="25" ht="16" spans="1:5">
      <c r="A25" s="1" t="s">
        <v>349</v>
      </c>
      <c r="B25" s="1" t="s">
        <v>350</v>
      </c>
      <c r="C25" s="4" t="s">
        <v>331</v>
      </c>
      <c r="D25" s="4"/>
      <c r="E25" s="4">
        <v>1</v>
      </c>
    </row>
    <row r="26" ht="16" spans="1:5">
      <c r="A26" s="1" t="s">
        <v>351</v>
      </c>
      <c r="B26" s="1" t="s">
        <v>352</v>
      </c>
      <c r="C26" s="1" t="s">
        <v>353</v>
      </c>
      <c r="D26" s="4">
        <v>18</v>
      </c>
      <c r="E26" s="4">
        <v>1</v>
      </c>
    </row>
    <row r="27" ht="16" spans="1:5">
      <c r="A27" s="1" t="s">
        <v>354</v>
      </c>
      <c r="B27" s="1" t="s">
        <v>355</v>
      </c>
      <c r="C27" s="1" t="s">
        <v>353</v>
      </c>
      <c r="D27" s="4">
        <v>18</v>
      </c>
      <c r="E27" s="4">
        <v>1</v>
      </c>
    </row>
    <row r="28" ht="17.25" customHeight="1" spans="1:5">
      <c r="A28" s="1" t="s">
        <v>356</v>
      </c>
      <c r="B28" s="1" t="s">
        <v>357</v>
      </c>
      <c r="C28" s="1" t="s">
        <v>348</v>
      </c>
      <c r="D28" s="4">
        <v>15</v>
      </c>
      <c r="E28" s="4">
        <v>0</v>
      </c>
    </row>
    <row r="29" ht="16" spans="1:5">
      <c r="A29" s="1" t="s">
        <v>358</v>
      </c>
      <c r="B29" s="1" t="s">
        <v>359</v>
      </c>
      <c r="C29" s="1" t="s">
        <v>360</v>
      </c>
      <c r="D29" s="4">
        <v>20</v>
      </c>
      <c r="E29" s="4">
        <v>1</v>
      </c>
    </row>
    <row r="30" ht="16" spans="1:5">
      <c r="A30" s="1" t="s">
        <v>68</v>
      </c>
      <c r="B30" s="1" t="s">
        <v>361</v>
      </c>
      <c r="C30" s="1" t="s">
        <v>360</v>
      </c>
      <c r="D30" s="4">
        <v>20</v>
      </c>
      <c r="E30" s="4">
        <v>0</v>
      </c>
    </row>
    <row r="31" ht="16" spans="1:5">
      <c r="A31" s="1" t="s">
        <v>362</v>
      </c>
      <c r="B31" s="1" t="s">
        <v>363</v>
      </c>
      <c r="C31" s="1" t="s">
        <v>331</v>
      </c>
      <c r="D31" s="4"/>
      <c r="E31" s="4">
        <v>1</v>
      </c>
    </row>
    <row r="32" ht="16" spans="1:5">
      <c r="A32" s="1" t="s">
        <v>364</v>
      </c>
      <c r="B32" s="1" t="s">
        <v>365</v>
      </c>
      <c r="C32" s="1" t="s">
        <v>353</v>
      </c>
      <c r="D32" s="4">
        <v>18</v>
      </c>
      <c r="E32" s="4">
        <v>1</v>
      </c>
    </row>
    <row r="33" ht="16" spans="1:5">
      <c r="A33" s="1" t="s">
        <v>366</v>
      </c>
      <c r="B33" s="1" t="s">
        <v>367</v>
      </c>
      <c r="C33" s="1" t="s">
        <v>348</v>
      </c>
      <c r="D33" s="4">
        <v>15</v>
      </c>
      <c r="E33" s="4">
        <v>1</v>
      </c>
    </row>
    <row r="34" ht="16" spans="1:5">
      <c r="A34" s="1" t="s">
        <v>368</v>
      </c>
      <c r="B34" s="1" t="s">
        <v>369</v>
      </c>
      <c r="C34" s="1" t="s">
        <v>370</v>
      </c>
      <c r="D34" s="4"/>
      <c r="E34" s="4">
        <v>1</v>
      </c>
    </row>
    <row r="35" ht="16" spans="1:5">
      <c r="A35" s="1" t="s">
        <v>72</v>
      </c>
      <c r="B35" s="1" t="s">
        <v>371</v>
      </c>
      <c r="C35" s="1" t="s">
        <v>360</v>
      </c>
      <c r="D35" s="4"/>
      <c r="E35" s="4">
        <v>0</v>
      </c>
    </row>
    <row r="36" ht="16" spans="1:5">
      <c r="A36" s="1" t="s">
        <v>372</v>
      </c>
      <c r="B36" s="1" t="s">
        <v>373</v>
      </c>
      <c r="C36" s="1" t="s">
        <v>370</v>
      </c>
      <c r="D36" s="4"/>
      <c r="E36" s="4">
        <v>1</v>
      </c>
    </row>
    <row r="37" ht="16" spans="1:5">
      <c r="A37" s="1" t="s">
        <v>74</v>
      </c>
      <c r="B37" s="1" t="s">
        <v>374</v>
      </c>
      <c r="C37" s="1"/>
      <c r="D37" s="4"/>
      <c r="E37" s="4">
        <v>0</v>
      </c>
    </row>
    <row r="38" ht="16" spans="1:5">
      <c r="A38" s="1" t="s">
        <v>375</v>
      </c>
      <c r="B38" s="4">
        <v>1</v>
      </c>
      <c r="C38" s="1" t="s">
        <v>376</v>
      </c>
      <c r="D38" s="4">
        <v>18</v>
      </c>
      <c r="E38" s="4">
        <v>1</v>
      </c>
    </row>
    <row r="39" ht="16" spans="1:5">
      <c r="A39" s="1" t="s">
        <v>377</v>
      </c>
      <c r="B39" s="4">
        <v>2</v>
      </c>
      <c r="C39" s="1" t="s">
        <v>376</v>
      </c>
      <c r="D39" s="4">
        <v>18</v>
      </c>
      <c r="E39" s="4">
        <v>1</v>
      </c>
    </row>
    <row r="40" ht="16" spans="1:5">
      <c r="A40" s="1" t="s">
        <v>378</v>
      </c>
      <c r="B40" s="4">
        <v>3</v>
      </c>
      <c r="C40" s="1" t="s">
        <v>376</v>
      </c>
      <c r="D40" s="4">
        <v>18</v>
      </c>
      <c r="E40" s="4">
        <v>1</v>
      </c>
    </row>
    <row r="41" ht="16" spans="1:5">
      <c r="A41" s="1" t="s">
        <v>379</v>
      </c>
      <c r="B41" s="4">
        <v>4</v>
      </c>
      <c r="C41" s="1" t="s">
        <v>376</v>
      </c>
      <c r="D41" s="4">
        <v>18</v>
      </c>
      <c r="E41" s="4">
        <v>1</v>
      </c>
    </row>
    <row r="42" ht="16" spans="1:5">
      <c r="A42" s="1" t="s">
        <v>81</v>
      </c>
      <c r="B42" s="1" t="s">
        <v>380</v>
      </c>
      <c r="C42" s="1" t="s">
        <v>376</v>
      </c>
      <c r="D42" s="4">
        <v>18</v>
      </c>
      <c r="E42" s="4">
        <v>0</v>
      </c>
    </row>
    <row r="43" ht="16" spans="1:5">
      <c r="A43" s="1" t="s">
        <v>381</v>
      </c>
      <c r="B43" s="1" t="s">
        <v>382</v>
      </c>
      <c r="C43" s="1" t="s">
        <v>383</v>
      </c>
      <c r="D43" s="4">
        <v>512</v>
      </c>
      <c r="E43" s="4">
        <v>0</v>
      </c>
    </row>
    <row r="44" ht="16" spans="1:5">
      <c r="A44" s="1" t="s">
        <v>384</v>
      </c>
      <c r="B44" s="1" t="s">
        <v>385</v>
      </c>
      <c r="C44" s="1" t="s">
        <v>386</v>
      </c>
      <c r="D44" s="4">
        <v>8</v>
      </c>
      <c r="E44" s="4">
        <v>0</v>
      </c>
    </row>
    <row r="45" ht="16" spans="1:5">
      <c r="A45" s="1" t="s">
        <v>86</v>
      </c>
      <c r="B45" s="1" t="s">
        <v>387</v>
      </c>
      <c r="C45" s="4" t="s">
        <v>309</v>
      </c>
      <c r="D45" s="4">
        <v>256</v>
      </c>
      <c r="E45" s="4">
        <v>0</v>
      </c>
    </row>
    <row r="46" ht="16" spans="1:5">
      <c r="A46" s="1" t="s">
        <v>388</v>
      </c>
      <c r="B46" s="4" t="s">
        <v>389</v>
      </c>
      <c r="C46" s="4" t="s">
        <v>309</v>
      </c>
      <c r="D46" s="53">
        <v>512</v>
      </c>
      <c r="E46" s="57">
        <v>1</v>
      </c>
    </row>
    <row r="47" ht="16" spans="1:4">
      <c r="A47" s="1" t="s">
        <v>89</v>
      </c>
      <c r="B47" s="4" t="s">
        <v>390</v>
      </c>
      <c r="C47" s="4" t="s">
        <v>309</v>
      </c>
      <c r="D47" s="54">
        <v>256</v>
      </c>
    </row>
    <row r="48" ht="16" spans="1:5">
      <c r="A48" s="1" t="s">
        <v>391</v>
      </c>
      <c r="B48" s="4" t="s">
        <v>392</v>
      </c>
      <c r="C48" s="4" t="s">
        <v>309</v>
      </c>
      <c r="D48" s="53">
        <v>512</v>
      </c>
      <c r="E48" s="57">
        <v>1</v>
      </c>
    </row>
    <row r="49" ht="16" spans="1:5">
      <c r="A49" s="1" t="s">
        <v>393</v>
      </c>
      <c r="B49" s="4" t="s">
        <v>394</v>
      </c>
      <c r="C49" s="4" t="s">
        <v>309</v>
      </c>
      <c r="D49" s="4">
        <v>30</v>
      </c>
      <c r="E49" s="57">
        <v>1</v>
      </c>
    </row>
    <row r="50" ht="16" spans="1:5">
      <c r="A50" s="1" t="s">
        <v>93</v>
      </c>
      <c r="B50" s="4" t="s">
        <v>395</v>
      </c>
      <c r="C50" s="4" t="s">
        <v>309</v>
      </c>
      <c r="D50" s="4">
        <v>128</v>
      </c>
      <c r="E50" s="57"/>
    </row>
    <row r="51" ht="16" spans="1:5">
      <c r="A51" s="52" t="s">
        <v>94</v>
      </c>
      <c r="B51" s="4" t="s">
        <v>396</v>
      </c>
      <c r="C51" s="4" t="s">
        <v>309</v>
      </c>
      <c r="D51" s="4">
        <v>32</v>
      </c>
      <c r="E51" s="57"/>
    </row>
    <row r="52" ht="16" spans="1:5">
      <c r="A52" s="1" t="s">
        <v>95</v>
      </c>
      <c r="B52" s="4" t="s">
        <v>397</v>
      </c>
      <c r="C52" s="4" t="s">
        <v>309</v>
      </c>
      <c r="D52" s="4">
        <v>64</v>
      </c>
      <c r="E52" s="57"/>
    </row>
    <row r="53" ht="16" spans="1:5">
      <c r="A53" s="1" t="s">
        <v>96</v>
      </c>
      <c r="B53" s="4" t="s">
        <v>398</v>
      </c>
      <c r="C53" s="4" t="s">
        <v>309</v>
      </c>
      <c r="D53" s="4">
        <v>64</v>
      </c>
      <c r="E53" s="57"/>
    </row>
    <row r="54" ht="16" spans="1:5">
      <c r="A54" s="1" t="s">
        <v>97</v>
      </c>
      <c r="B54" s="4" t="s">
        <v>399</v>
      </c>
      <c r="C54" s="4" t="s">
        <v>309</v>
      </c>
      <c r="D54" s="4">
        <v>64</v>
      </c>
      <c r="E54" s="57"/>
    </row>
    <row r="55" ht="16" spans="1:5">
      <c r="A55" s="1" t="s">
        <v>98</v>
      </c>
      <c r="B55" s="4" t="s">
        <v>400</v>
      </c>
      <c r="C55" s="4" t="s">
        <v>309</v>
      </c>
      <c r="D55" s="4">
        <v>64</v>
      </c>
      <c r="E55" s="57"/>
    </row>
    <row r="56" ht="16" spans="1:5">
      <c r="A56" s="1" t="s">
        <v>219</v>
      </c>
      <c r="B56" s="4" t="s">
        <v>395</v>
      </c>
      <c r="C56" s="4" t="s">
        <v>309</v>
      </c>
      <c r="D56" s="4">
        <v>512</v>
      </c>
      <c r="E56" s="4">
        <v>0</v>
      </c>
    </row>
    <row r="57" ht="46" spans="1:5">
      <c r="A57" s="1" t="s">
        <v>220</v>
      </c>
      <c r="B57" s="4" t="s">
        <v>401</v>
      </c>
      <c r="C57" s="4" t="s">
        <v>309</v>
      </c>
      <c r="D57" s="4">
        <v>64</v>
      </c>
      <c r="E57" s="4">
        <v>0</v>
      </c>
    </row>
    <row r="58" ht="44.25" customHeight="1" spans="1:5">
      <c r="A58" s="1" t="s">
        <v>221</v>
      </c>
      <c r="B58" s="4" t="s">
        <v>402</v>
      </c>
      <c r="C58" s="4" t="s">
        <v>309</v>
      </c>
      <c r="D58" s="4">
        <v>64</v>
      </c>
      <c r="E58" s="4">
        <v>0</v>
      </c>
    </row>
    <row r="59" ht="31" spans="1:5">
      <c r="A59" s="1" t="s">
        <v>222</v>
      </c>
      <c r="B59" s="4" t="s">
        <v>403</v>
      </c>
      <c r="C59" s="4" t="s">
        <v>309</v>
      </c>
      <c r="D59" s="4">
        <v>64</v>
      </c>
      <c r="E59" s="4">
        <v>0</v>
      </c>
    </row>
    <row r="60" ht="16" spans="1:5">
      <c r="A60" s="1" t="s">
        <v>135</v>
      </c>
      <c r="B60" s="4" t="s">
        <v>404</v>
      </c>
      <c r="C60" s="4" t="s">
        <v>405</v>
      </c>
      <c r="D60" s="4">
        <v>20</v>
      </c>
      <c r="E60" s="4"/>
    </row>
    <row r="61" ht="16" spans="1:5">
      <c r="A61" s="1" t="s">
        <v>136</v>
      </c>
      <c r="B61" s="4" t="s">
        <v>406</v>
      </c>
      <c r="C61" s="4" t="s">
        <v>405</v>
      </c>
      <c r="D61" s="4">
        <v>20</v>
      </c>
      <c r="E61" s="4"/>
    </row>
    <row r="62" ht="16" spans="1:5">
      <c r="A62" s="1" t="s">
        <v>407</v>
      </c>
      <c r="B62" s="4" t="s">
        <v>408</v>
      </c>
      <c r="C62" s="4" t="s">
        <v>405</v>
      </c>
      <c r="D62" s="4">
        <v>20</v>
      </c>
      <c r="E62" s="4"/>
    </row>
    <row r="63" ht="16" spans="1:5">
      <c r="A63" s="1" t="s">
        <v>138</v>
      </c>
      <c r="B63" s="4" t="s">
        <v>409</v>
      </c>
      <c r="C63" s="4" t="s">
        <v>405</v>
      </c>
      <c r="D63" s="4">
        <v>20</v>
      </c>
      <c r="E63" s="4"/>
    </row>
    <row r="64" ht="16" spans="1:5">
      <c r="A64" s="55" t="s">
        <v>410</v>
      </c>
      <c r="B64" s="54"/>
      <c r="C64" s="54"/>
      <c r="D64" s="54"/>
      <c r="E64" s="54"/>
    </row>
    <row r="65" ht="16" spans="1:5">
      <c r="A65" s="59" t="s">
        <v>411</v>
      </c>
      <c r="B65" s="4"/>
      <c r="C65" s="4"/>
      <c r="D65" s="4"/>
      <c r="E65" s="4">
        <v>1</v>
      </c>
    </row>
    <row r="66" ht="16" spans="1:5">
      <c r="A66" s="59" t="s">
        <v>412</v>
      </c>
      <c r="B66" s="4"/>
      <c r="C66" s="4"/>
      <c r="D66" s="4"/>
      <c r="E66" s="4">
        <v>1</v>
      </c>
    </row>
    <row r="67" ht="16" spans="1:5">
      <c r="A67" s="59" t="s">
        <v>413</v>
      </c>
      <c r="B67" s="4"/>
      <c r="C67" s="4"/>
      <c r="D67" s="4"/>
      <c r="E67" s="4">
        <v>1</v>
      </c>
    </row>
    <row r="68" ht="16" spans="1:5">
      <c r="A68" s="59" t="s">
        <v>102</v>
      </c>
      <c r="B68" s="4"/>
      <c r="C68" s="4"/>
      <c r="D68" s="4"/>
      <c r="E68" s="4">
        <v>0</v>
      </c>
    </row>
    <row r="69" ht="16" spans="1:5">
      <c r="A69" s="59" t="s">
        <v>414</v>
      </c>
      <c r="B69" s="4"/>
      <c r="C69" s="4"/>
      <c r="D69" s="53"/>
      <c r="E69" s="57">
        <v>1</v>
      </c>
    </row>
    <row r="70" ht="16" spans="1:5">
      <c r="A70" s="59" t="s">
        <v>415</v>
      </c>
      <c r="B70" s="4"/>
      <c r="C70" s="4"/>
      <c r="D70" s="4"/>
      <c r="E70" s="4">
        <v>1</v>
      </c>
    </row>
    <row r="71" ht="16" spans="1:5">
      <c r="A71" s="59" t="s">
        <v>416</v>
      </c>
      <c r="B71" s="4"/>
      <c r="C71" s="4"/>
      <c r="D71" s="4"/>
      <c r="E71" s="4">
        <v>1</v>
      </c>
    </row>
    <row r="72" ht="16" spans="1:5">
      <c r="A72" s="59" t="s">
        <v>417</v>
      </c>
      <c r="B72" s="4"/>
      <c r="C72" s="4"/>
      <c r="D72" s="4"/>
      <c r="E72" s="4">
        <v>1</v>
      </c>
    </row>
    <row r="73" ht="16" spans="1:5">
      <c r="A73" s="59" t="s">
        <v>108</v>
      </c>
      <c r="B73" s="4"/>
      <c r="C73" s="4"/>
      <c r="D73" s="4"/>
      <c r="E73" s="4">
        <v>0</v>
      </c>
    </row>
    <row r="74" ht="16" spans="1:5">
      <c r="A74" s="1" t="s">
        <v>109</v>
      </c>
      <c r="B74" s="4"/>
      <c r="C74" s="4"/>
      <c r="D74" s="53"/>
      <c r="E74" s="57">
        <v>0</v>
      </c>
    </row>
    <row r="75" ht="16" spans="1:5">
      <c r="A75" s="1" t="s">
        <v>111</v>
      </c>
      <c r="B75" s="4"/>
      <c r="C75" s="4"/>
      <c r="D75" s="4"/>
      <c r="E75" s="4">
        <v>0</v>
      </c>
    </row>
    <row r="76" ht="16" spans="1:5">
      <c r="A76" s="1" t="s">
        <v>112</v>
      </c>
      <c r="B76" s="4"/>
      <c r="C76" s="4"/>
      <c r="D76" s="4"/>
      <c r="E76" s="4">
        <v>0</v>
      </c>
    </row>
    <row r="77" ht="16" spans="1:5">
      <c r="A77" s="1" t="s">
        <v>113</v>
      </c>
      <c r="B77" s="4"/>
      <c r="C77" s="4"/>
      <c r="D77" s="4"/>
      <c r="E77" s="4">
        <v>0</v>
      </c>
    </row>
    <row r="78" ht="16" spans="1:5">
      <c r="A78" s="1" t="s">
        <v>108</v>
      </c>
      <c r="B78" s="4"/>
      <c r="C78" s="4"/>
      <c r="D78" s="4"/>
      <c r="E78" s="4">
        <v>0</v>
      </c>
    </row>
    <row r="79" ht="16" spans="1:5">
      <c r="A79" s="1" t="s">
        <v>114</v>
      </c>
      <c r="B79" s="4"/>
      <c r="C79" s="4"/>
      <c r="D79" s="53"/>
      <c r="E79" s="57">
        <v>0</v>
      </c>
    </row>
    <row r="80" ht="16" spans="1:5">
      <c r="A80" s="1" t="s">
        <v>92</v>
      </c>
      <c r="B80" s="4"/>
      <c r="C80" s="4"/>
      <c r="D80" s="4"/>
      <c r="E80" s="4">
        <v>0</v>
      </c>
    </row>
    <row r="81" ht="16" spans="1:5">
      <c r="A81" s="1" t="s">
        <v>111</v>
      </c>
      <c r="B81" s="4"/>
      <c r="C81" s="4"/>
      <c r="D81" s="4"/>
      <c r="E81" s="4">
        <v>0</v>
      </c>
    </row>
    <row r="82" ht="16" spans="1:5">
      <c r="A82" s="1" t="s">
        <v>112</v>
      </c>
      <c r="B82" s="4"/>
      <c r="C82" s="4"/>
      <c r="D82" s="4"/>
      <c r="E82" s="4">
        <v>0</v>
      </c>
    </row>
    <row r="83" ht="16" spans="1:5">
      <c r="A83" s="1" t="s">
        <v>113</v>
      </c>
      <c r="B83" s="4"/>
      <c r="C83" s="4"/>
      <c r="D83" s="4"/>
      <c r="E83" s="4">
        <v>0</v>
      </c>
    </row>
    <row r="84" ht="16" spans="1:5">
      <c r="A84" s="1" t="s">
        <v>108</v>
      </c>
      <c r="B84" s="4"/>
      <c r="C84" s="4"/>
      <c r="D84" s="4"/>
      <c r="E84" s="4">
        <v>0</v>
      </c>
    </row>
    <row r="85" ht="16" spans="1:5">
      <c r="A85" s="1" t="s">
        <v>418</v>
      </c>
      <c r="B85" s="4"/>
      <c r="C85" s="4"/>
      <c r="D85" s="53"/>
      <c r="E85" s="57">
        <v>1</v>
      </c>
    </row>
    <row r="86" ht="16" spans="1:5">
      <c r="A86" s="1" t="s">
        <v>419</v>
      </c>
      <c r="B86" s="4"/>
      <c r="C86" s="4"/>
      <c r="D86" s="4"/>
      <c r="E86" s="4">
        <v>1</v>
      </c>
    </row>
    <row r="87" ht="16" spans="1:5">
      <c r="A87" s="1" t="s">
        <v>420</v>
      </c>
      <c r="B87" s="4"/>
      <c r="C87" s="4"/>
      <c r="D87" s="4"/>
      <c r="E87" s="4">
        <v>1</v>
      </c>
    </row>
    <row r="88" ht="16" spans="1:5">
      <c r="A88" s="1" t="s">
        <v>421</v>
      </c>
      <c r="B88" s="4"/>
      <c r="C88" s="4"/>
      <c r="D88" s="4"/>
      <c r="E88" s="4">
        <v>1</v>
      </c>
    </row>
    <row r="89" ht="16" spans="1:5">
      <c r="A89" s="1" t="s">
        <v>120</v>
      </c>
      <c r="B89" s="4"/>
      <c r="C89" s="4"/>
      <c r="D89" s="4"/>
      <c r="E89" s="4">
        <v>0</v>
      </c>
    </row>
    <row r="90" ht="16" spans="1:5">
      <c r="A90" s="1" t="s">
        <v>422</v>
      </c>
      <c r="B90" s="4"/>
      <c r="C90" s="4"/>
      <c r="D90" s="53"/>
      <c r="E90" s="57">
        <v>1</v>
      </c>
    </row>
    <row r="91" ht="16" spans="1:5">
      <c r="A91" s="1" t="s">
        <v>423</v>
      </c>
      <c r="B91" s="4"/>
      <c r="C91" s="4"/>
      <c r="D91" s="4"/>
      <c r="E91" s="4">
        <v>1</v>
      </c>
    </row>
    <row r="92" ht="16" spans="1:5">
      <c r="A92" s="1" t="s">
        <v>424</v>
      </c>
      <c r="B92" s="4"/>
      <c r="C92" s="4"/>
      <c r="D92" s="4"/>
      <c r="E92" s="4">
        <v>1</v>
      </c>
    </row>
    <row r="93" ht="16" spans="1:5">
      <c r="A93" s="1" t="s">
        <v>425</v>
      </c>
      <c r="B93" s="4"/>
      <c r="C93" s="4"/>
      <c r="D93" s="4"/>
      <c r="E93" s="4">
        <v>1</v>
      </c>
    </row>
    <row r="94" ht="16" spans="1:5">
      <c r="A94" s="1" t="s">
        <v>126</v>
      </c>
      <c r="B94" s="4"/>
      <c r="C94" s="4"/>
      <c r="D94" s="4"/>
      <c r="E94" s="4">
        <v>0</v>
      </c>
    </row>
    <row r="95" ht="16" spans="1:5">
      <c r="A95" s="1" t="s">
        <v>128</v>
      </c>
      <c r="B95" s="4"/>
      <c r="C95" s="4"/>
      <c r="D95" s="53"/>
      <c r="E95" s="57">
        <v>0</v>
      </c>
    </row>
    <row r="96" ht="16" spans="1:5">
      <c r="A96" s="1" t="s">
        <v>129</v>
      </c>
      <c r="B96" s="4"/>
      <c r="C96" s="4"/>
      <c r="D96" s="4"/>
      <c r="E96" s="4">
        <v>0</v>
      </c>
    </row>
    <row r="97" ht="16" spans="1:5">
      <c r="A97" s="1" t="s">
        <v>130</v>
      </c>
      <c r="B97" s="4"/>
      <c r="C97" s="4"/>
      <c r="D97" s="4"/>
      <c r="E97" s="4">
        <v>0</v>
      </c>
    </row>
    <row r="98" ht="16" spans="1:5">
      <c r="A98" s="1" t="s">
        <v>131</v>
      </c>
      <c r="B98" s="4"/>
      <c r="C98" s="4"/>
      <c r="D98" s="4"/>
      <c r="E98" s="4">
        <v>0</v>
      </c>
    </row>
    <row r="99" ht="16" spans="1:5">
      <c r="A99" s="1" t="s">
        <v>133</v>
      </c>
      <c r="B99" s="4"/>
      <c r="C99" s="4"/>
      <c r="D99" s="53"/>
      <c r="E99" s="57">
        <v>0</v>
      </c>
    </row>
    <row r="100" ht="16" spans="1:5">
      <c r="A100" s="1" t="s">
        <v>129</v>
      </c>
      <c r="B100" s="4"/>
      <c r="C100" s="4"/>
      <c r="D100" s="4"/>
      <c r="E100" s="4">
        <v>0</v>
      </c>
    </row>
    <row r="101" ht="16" spans="1:5">
      <c r="A101" s="1" t="s">
        <v>130</v>
      </c>
      <c r="B101" s="4"/>
      <c r="C101" s="4"/>
      <c r="D101" s="4"/>
      <c r="E101" s="4">
        <v>0</v>
      </c>
    </row>
    <row r="102" ht="16" spans="1:5">
      <c r="A102" s="1" t="s">
        <v>131</v>
      </c>
      <c r="B102" s="4"/>
      <c r="C102" s="4"/>
      <c r="D102" s="4"/>
      <c r="E102" s="4">
        <v>0</v>
      </c>
    </row>
    <row r="103" ht="16" spans="1:5">
      <c r="A103" s="1" t="s">
        <v>132</v>
      </c>
      <c r="B103" s="4"/>
      <c r="C103" s="4"/>
      <c r="D103" s="4"/>
      <c r="E103" s="4">
        <v>0</v>
      </c>
    </row>
    <row r="104" spans="1:5">
      <c r="A104" s="24" t="s">
        <v>426</v>
      </c>
      <c r="B104" s="24"/>
      <c r="C104" s="24"/>
      <c r="D104" s="60"/>
      <c r="E104" s="60">
        <v>1</v>
      </c>
    </row>
    <row r="105" spans="1:5">
      <c r="A105" s="24" t="s">
        <v>427</v>
      </c>
      <c r="B105" s="24"/>
      <c r="C105" s="24"/>
      <c r="D105" s="60"/>
      <c r="E105" s="60">
        <v>0</v>
      </c>
    </row>
    <row r="106" spans="1:5">
      <c r="A106" s="24" t="s">
        <v>428</v>
      </c>
      <c r="B106" s="24"/>
      <c r="C106" s="24"/>
      <c r="D106" s="60"/>
      <c r="E106" s="60">
        <v>0</v>
      </c>
    </row>
    <row r="107" spans="1:5">
      <c r="A107" s="24" t="s">
        <v>429</v>
      </c>
      <c r="B107" s="24"/>
      <c r="C107" s="24"/>
      <c r="D107" s="60"/>
      <c r="E107" s="60">
        <v>0</v>
      </c>
    </row>
    <row r="108" spans="1:5">
      <c r="A108" s="24" t="s">
        <v>430</v>
      </c>
      <c r="B108" s="24"/>
      <c r="C108" s="24"/>
      <c r="D108" s="60"/>
      <c r="E108" s="60">
        <v>0</v>
      </c>
    </row>
    <row r="109" spans="1:5">
      <c r="A109" s="24" t="s">
        <v>431</v>
      </c>
      <c r="B109" s="24"/>
      <c r="C109" s="24"/>
      <c r="D109" s="60"/>
      <c r="E109" s="60">
        <v>0</v>
      </c>
    </row>
    <row r="110" spans="1:5">
      <c r="A110" s="24" t="s">
        <v>432</v>
      </c>
      <c r="B110" s="24"/>
      <c r="C110" s="24"/>
      <c r="D110" s="60"/>
      <c r="E110" s="60">
        <v>0</v>
      </c>
    </row>
  </sheetData>
  <sheetProtection password="C616" sheet="1" objects="1" scenarios="1"/>
  <mergeCells count="1">
    <mergeCell ref="A1:E1"/>
  </mergeCells>
  <pageMargins left="0.699305555555556" right="0.699305555555556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AT521"/>
  <sheetViews>
    <sheetView topLeftCell="AC1" workbookViewId="0">
      <selection activeCell="AM34" sqref="AM34"/>
    </sheetView>
  </sheetViews>
  <sheetFormatPr defaultColWidth="9" defaultRowHeight="14"/>
  <cols>
    <col min="1" max="3" width="9" style="14"/>
    <col min="4" max="4" width="14.1640625" style="26" customWidth="1"/>
    <col min="5" max="5" width="11.1640625" style="26" customWidth="1"/>
    <col min="6" max="6" width="11.1640625" style="14" customWidth="1"/>
    <col min="7" max="7" width="10.5" style="14" customWidth="1"/>
    <col min="8" max="8" width="9.8359375" style="14" customWidth="1"/>
    <col min="9" max="26" width="9" style="14"/>
    <col min="27" max="27" width="14.1640625" style="14" customWidth="1"/>
    <col min="28" max="29" width="9" style="14"/>
    <col min="30" max="30" width="14.3359375" style="14" customWidth="1"/>
    <col min="31" max="31" width="20.5" style="14" customWidth="1"/>
    <col min="32" max="34" width="9" style="14"/>
    <col min="35" max="35" width="14" style="14" customWidth="1"/>
    <col min="36" max="36" width="9" style="14"/>
    <col min="37" max="37" width="21.6640625" style="14" customWidth="1"/>
    <col min="38" max="16384" width="9" style="14"/>
  </cols>
  <sheetData>
    <row r="1" s="25" customFormat="1" ht="14.4" spans="1:41">
      <c r="A1" s="27" t="s">
        <v>433</v>
      </c>
      <c r="B1" s="27"/>
      <c r="C1" s="27"/>
      <c r="D1" s="26"/>
      <c r="E1" s="26"/>
      <c r="F1" s="27"/>
      <c r="G1" s="27" t="s">
        <v>434</v>
      </c>
      <c r="H1" s="27" t="s">
        <v>435</v>
      </c>
      <c r="I1" s="27" t="s">
        <v>436</v>
      </c>
      <c r="J1" s="27" t="s">
        <v>437</v>
      </c>
      <c r="K1" s="27" t="s">
        <v>438</v>
      </c>
      <c r="L1" s="27" t="s">
        <v>439</v>
      </c>
      <c r="M1" s="27" t="s">
        <v>440</v>
      </c>
      <c r="N1" s="27" t="s">
        <v>441</v>
      </c>
      <c r="O1" s="27" t="s">
        <v>442</v>
      </c>
      <c r="P1" s="27" t="s">
        <v>443</v>
      </c>
      <c r="Q1" s="27" t="s">
        <v>444</v>
      </c>
      <c r="R1" s="27" t="s">
        <v>445</v>
      </c>
      <c r="S1" s="27" t="s">
        <v>446</v>
      </c>
      <c r="T1" s="27" t="s">
        <v>447</v>
      </c>
      <c r="U1" s="27" t="s">
        <v>448</v>
      </c>
      <c r="V1" s="27" t="s">
        <v>449</v>
      </c>
      <c r="W1" s="27" t="s">
        <v>450</v>
      </c>
      <c r="X1" s="27" t="s">
        <v>451</v>
      </c>
      <c r="Y1" s="27" t="s">
        <v>452</v>
      </c>
      <c r="Z1" s="27" t="s">
        <v>453</v>
      </c>
      <c r="AA1" s="27" t="s">
        <v>454</v>
      </c>
      <c r="AB1" s="27" t="s">
        <v>455</v>
      </c>
      <c r="AC1" s="27" t="s">
        <v>456</v>
      </c>
      <c r="AD1" s="27" t="s">
        <v>457</v>
      </c>
      <c r="AE1" s="25" t="s">
        <v>458</v>
      </c>
      <c r="AF1" s="25" t="s">
        <v>459</v>
      </c>
      <c r="AG1" s="25" t="s">
        <v>460</v>
      </c>
      <c r="AH1" s="25" t="s">
        <v>461</v>
      </c>
      <c r="AI1" s="25" t="s">
        <v>462</v>
      </c>
      <c r="AJ1" s="25" t="s">
        <v>463</v>
      </c>
      <c r="AK1" s="25" t="s">
        <v>464</v>
      </c>
      <c r="AL1" s="28" t="s">
        <v>465</v>
      </c>
      <c r="AM1" s="28" t="s">
        <v>466</v>
      </c>
      <c r="AN1" s="28" t="s">
        <v>467</v>
      </c>
      <c r="AO1" s="28" t="s">
        <v>468</v>
      </c>
    </row>
    <row r="2" ht="14.4" spans="1:41">
      <c r="A2" s="28" t="s">
        <v>434</v>
      </c>
      <c r="B2" s="28" t="s">
        <v>469</v>
      </c>
      <c r="C2" s="28"/>
      <c r="D2" s="29" t="s">
        <v>470</v>
      </c>
      <c r="E2" s="29" t="s">
        <v>471</v>
      </c>
      <c r="F2" s="28"/>
      <c r="G2" s="34" t="s">
        <v>472</v>
      </c>
      <c r="H2" t="s">
        <v>473</v>
      </c>
      <c r="I2" s="27" t="s">
        <v>474</v>
      </c>
      <c r="J2" s="28" t="s">
        <v>475</v>
      </c>
      <c r="K2" s="28" t="s">
        <v>476</v>
      </c>
      <c r="L2" s="28" t="s">
        <v>477</v>
      </c>
      <c r="M2" s="28" t="s">
        <v>478</v>
      </c>
      <c r="N2" s="28" t="s">
        <v>479</v>
      </c>
      <c r="O2" t="s">
        <v>480</v>
      </c>
      <c r="P2" s="28" t="s">
        <v>481</v>
      </c>
      <c r="Q2" s="28" t="s">
        <v>482</v>
      </c>
      <c r="R2" s="28" t="s">
        <v>483</v>
      </c>
      <c r="S2" s="28" t="s">
        <v>484</v>
      </c>
      <c r="T2" s="28" t="s">
        <v>485</v>
      </c>
      <c r="U2" s="28" t="s">
        <v>486</v>
      </c>
      <c r="V2" s="28" t="s">
        <v>487</v>
      </c>
      <c r="W2" s="28" t="s">
        <v>488</v>
      </c>
      <c r="X2" s="28" t="s">
        <v>489</v>
      </c>
      <c r="Y2" s="28" t="s">
        <v>490</v>
      </c>
      <c r="Z2" s="28" t="s">
        <v>491</v>
      </c>
      <c r="AA2" s="28" t="s">
        <v>492</v>
      </c>
      <c r="AB2" t="s">
        <v>493</v>
      </c>
      <c r="AC2" s="28" t="s">
        <v>494</v>
      </c>
      <c r="AD2" s="28" t="s">
        <v>495</v>
      </c>
      <c r="AE2" s="14" t="s">
        <v>496</v>
      </c>
      <c r="AF2" s="14" t="s">
        <v>497</v>
      </c>
      <c r="AG2" s="14" t="s">
        <v>498</v>
      </c>
      <c r="AH2" s="14" t="s">
        <v>499</v>
      </c>
      <c r="AI2" s="14" t="s">
        <v>500</v>
      </c>
      <c r="AJ2" s="14" t="s">
        <v>501</v>
      </c>
      <c r="AK2" s="14" t="s">
        <v>502</v>
      </c>
      <c r="AL2" s="28" t="s">
        <v>465</v>
      </c>
      <c r="AM2" s="28" t="s">
        <v>466</v>
      </c>
      <c r="AN2" s="28" t="s">
        <v>467</v>
      </c>
      <c r="AO2" s="28" t="s">
        <v>468</v>
      </c>
    </row>
    <row r="3" ht="17.6" spans="1:37">
      <c r="A3" s="28" t="s">
        <v>435</v>
      </c>
      <c r="B3" s="28" t="s">
        <v>503</v>
      </c>
      <c r="D3" s="29" t="s">
        <v>504</v>
      </c>
      <c r="E3" s="29" t="s">
        <v>505</v>
      </c>
      <c r="F3" s="28"/>
      <c r="G3" s="34" t="s">
        <v>506</v>
      </c>
      <c r="H3" t="s">
        <v>507</v>
      </c>
      <c r="I3" s="28" t="s">
        <v>508</v>
      </c>
      <c r="J3" s="28" t="s">
        <v>509</v>
      </c>
      <c r="K3" s="28" t="s">
        <v>510</v>
      </c>
      <c r="L3" s="28" t="s">
        <v>511</v>
      </c>
      <c r="M3" s="28" t="s">
        <v>512</v>
      </c>
      <c r="N3" s="28" t="s">
        <v>513</v>
      </c>
      <c r="O3" t="s">
        <v>514</v>
      </c>
      <c r="P3" s="28" t="s">
        <v>515</v>
      </c>
      <c r="Q3" s="28" t="s">
        <v>516</v>
      </c>
      <c r="R3" s="28" t="s">
        <v>517</v>
      </c>
      <c r="S3" s="28" t="s">
        <v>518</v>
      </c>
      <c r="T3" s="28" t="s">
        <v>519</v>
      </c>
      <c r="U3" s="28" t="s">
        <v>520</v>
      </c>
      <c r="V3" s="28" t="s">
        <v>521</v>
      </c>
      <c r="W3" s="28" t="s">
        <v>522</v>
      </c>
      <c r="X3" s="28" t="s">
        <v>523</v>
      </c>
      <c r="Y3" s="28" t="s">
        <v>524</v>
      </c>
      <c r="Z3" s="28" t="s">
        <v>525</v>
      </c>
      <c r="AA3" s="28" t="s">
        <v>526</v>
      </c>
      <c r="AB3" t="s">
        <v>527</v>
      </c>
      <c r="AC3" s="33" t="s">
        <v>528</v>
      </c>
      <c r="AD3" s="33" t="s">
        <v>529</v>
      </c>
      <c r="AE3" s="14" t="s">
        <v>530</v>
      </c>
      <c r="AF3" s="14" t="s">
        <v>531</v>
      </c>
      <c r="AG3" s="14" t="s">
        <v>532</v>
      </c>
      <c r="AH3" s="14" t="s">
        <v>533</v>
      </c>
      <c r="AI3" s="14" t="s">
        <v>534</v>
      </c>
      <c r="AJ3" s="14" t="s">
        <v>535</v>
      </c>
      <c r="AK3" s="14" t="s">
        <v>536</v>
      </c>
    </row>
    <row r="4" ht="17.6" spans="1:37">
      <c r="A4" s="28" t="s">
        <v>436</v>
      </c>
      <c r="B4" s="28" t="s">
        <v>537</v>
      </c>
      <c r="D4" s="30" t="s">
        <v>538</v>
      </c>
      <c r="E4" s="30" t="s">
        <v>539</v>
      </c>
      <c r="F4" s="28"/>
      <c r="G4" s="34" t="s">
        <v>538</v>
      </c>
      <c r="H4" t="s">
        <v>540</v>
      </c>
      <c r="I4" s="27" t="s">
        <v>541</v>
      </c>
      <c r="J4" s="28" t="s">
        <v>542</v>
      </c>
      <c r="K4" s="28" t="s">
        <v>543</v>
      </c>
      <c r="L4" s="28" t="s">
        <v>544</v>
      </c>
      <c r="M4" s="28" t="s">
        <v>545</v>
      </c>
      <c r="N4" s="28" t="s">
        <v>546</v>
      </c>
      <c r="O4" t="s">
        <v>547</v>
      </c>
      <c r="P4" s="28" t="s">
        <v>548</v>
      </c>
      <c r="Q4" s="28" t="s">
        <v>549</v>
      </c>
      <c r="R4" s="28" t="s">
        <v>550</v>
      </c>
      <c r="S4" s="28" t="s">
        <v>551</v>
      </c>
      <c r="T4" s="28" t="s">
        <v>552</v>
      </c>
      <c r="U4" s="28" t="s">
        <v>553</v>
      </c>
      <c r="V4" s="28" t="s">
        <v>554</v>
      </c>
      <c r="W4" s="28" t="s">
        <v>555</v>
      </c>
      <c r="X4" s="28" t="s">
        <v>556</v>
      </c>
      <c r="Y4" s="28" t="s">
        <v>557</v>
      </c>
      <c r="Z4" s="28" t="s">
        <v>558</v>
      </c>
      <c r="AA4" s="28" t="s">
        <v>559</v>
      </c>
      <c r="AB4" t="s">
        <v>560</v>
      </c>
      <c r="AC4" s="33" t="s">
        <v>561</v>
      </c>
      <c r="AD4" s="33" t="s">
        <v>562</v>
      </c>
      <c r="AE4" s="14" t="s">
        <v>563</v>
      </c>
      <c r="AF4" s="14" t="s">
        <v>564</v>
      </c>
      <c r="AG4" s="14" t="s">
        <v>565</v>
      </c>
      <c r="AH4" s="14" t="s">
        <v>566</v>
      </c>
      <c r="AI4" s="14" t="s">
        <v>567</v>
      </c>
      <c r="AJ4" s="14" t="s">
        <v>568</v>
      </c>
      <c r="AK4" s="14" t="s">
        <v>569</v>
      </c>
    </row>
    <row r="5" ht="17.6" spans="1:46">
      <c r="A5" s="28" t="s">
        <v>437</v>
      </c>
      <c r="B5" s="28" t="s">
        <v>570</v>
      </c>
      <c r="D5" s="29" t="s">
        <v>571</v>
      </c>
      <c r="E5" s="29" t="s">
        <v>572</v>
      </c>
      <c r="F5" s="28"/>
      <c r="G5" s="34" t="s">
        <v>573</v>
      </c>
      <c r="H5" t="s">
        <v>574</v>
      </c>
      <c r="I5" s="28" t="s">
        <v>575</v>
      </c>
      <c r="J5" s="28" t="s">
        <v>576</v>
      </c>
      <c r="K5" s="28" t="s">
        <v>577</v>
      </c>
      <c r="L5" s="28" t="s">
        <v>578</v>
      </c>
      <c r="M5" s="28" t="s">
        <v>579</v>
      </c>
      <c r="N5" s="28" t="s">
        <v>580</v>
      </c>
      <c r="O5" t="s">
        <v>581</v>
      </c>
      <c r="P5" s="28" t="s">
        <v>582</v>
      </c>
      <c r="Q5" s="28" t="s">
        <v>583</v>
      </c>
      <c r="R5" s="28" t="s">
        <v>584</v>
      </c>
      <c r="S5" s="28" t="s">
        <v>585</v>
      </c>
      <c r="T5" s="28" t="s">
        <v>586</v>
      </c>
      <c r="U5" s="28" t="s">
        <v>587</v>
      </c>
      <c r="V5" s="28" t="s">
        <v>588</v>
      </c>
      <c r="W5" s="28" t="s">
        <v>589</v>
      </c>
      <c r="X5" s="28" t="s">
        <v>590</v>
      </c>
      <c r="Y5" s="28" t="s">
        <v>591</v>
      </c>
      <c r="Z5" s="28" t="s">
        <v>592</v>
      </c>
      <c r="AA5" s="28" t="s">
        <v>593</v>
      </c>
      <c r="AB5" t="s">
        <v>594</v>
      </c>
      <c r="AC5" s="33" t="s">
        <v>595</v>
      </c>
      <c r="AD5" s="33" t="s">
        <v>596</v>
      </c>
      <c r="AE5" s="14" t="s">
        <v>597</v>
      </c>
      <c r="AF5" s="14" t="s">
        <v>598</v>
      </c>
      <c r="AG5" s="14" t="s">
        <v>599</v>
      </c>
      <c r="AH5" s="14" t="s">
        <v>600</v>
      </c>
      <c r="AI5" s="14" t="s">
        <v>601</v>
      </c>
      <c r="AJ5" s="14" t="s">
        <v>602</v>
      </c>
      <c r="AK5" s="14" t="s">
        <v>603</v>
      </c>
      <c r="AS5" s="28"/>
      <c r="AT5" s="28"/>
    </row>
    <row r="6" ht="17.6" spans="1:46">
      <c r="A6" s="28" t="s">
        <v>438</v>
      </c>
      <c r="B6" s="28" t="s">
        <v>604</v>
      </c>
      <c r="D6" s="29" t="s">
        <v>472</v>
      </c>
      <c r="E6" s="29" t="s">
        <v>605</v>
      </c>
      <c r="F6" s="28"/>
      <c r="G6" s="34" t="s">
        <v>504</v>
      </c>
      <c r="H6" t="s">
        <v>606</v>
      </c>
      <c r="I6" s="28" t="s">
        <v>607</v>
      </c>
      <c r="J6" s="28" t="s">
        <v>608</v>
      </c>
      <c r="K6" s="28" t="s">
        <v>609</v>
      </c>
      <c r="L6" s="28" t="s">
        <v>610</v>
      </c>
      <c r="M6" s="28" t="s">
        <v>611</v>
      </c>
      <c r="N6" s="28" t="s">
        <v>612</v>
      </c>
      <c r="O6" t="s">
        <v>613</v>
      </c>
      <c r="P6" s="28" t="s">
        <v>614</v>
      </c>
      <c r="Q6" s="28" t="s">
        <v>615</v>
      </c>
      <c r="R6" s="28" t="s">
        <v>616</v>
      </c>
      <c r="S6" s="28" t="s">
        <v>617</v>
      </c>
      <c r="T6" s="28" t="s">
        <v>618</v>
      </c>
      <c r="U6" s="28" t="s">
        <v>619</v>
      </c>
      <c r="V6" s="28" t="s">
        <v>620</v>
      </c>
      <c r="W6" s="28" t="s">
        <v>621</v>
      </c>
      <c r="X6" s="28" t="s">
        <v>622</v>
      </c>
      <c r="Y6" s="28" t="s">
        <v>623</v>
      </c>
      <c r="Z6" s="28" t="s">
        <v>624</v>
      </c>
      <c r="AA6" s="28" t="s">
        <v>625</v>
      </c>
      <c r="AB6" t="s">
        <v>626</v>
      </c>
      <c r="AC6" s="33" t="s">
        <v>627</v>
      </c>
      <c r="AD6" s="39" t="s">
        <v>628</v>
      </c>
      <c r="AE6" s="14" t="s">
        <v>629</v>
      </c>
      <c r="AF6" s="14" t="s">
        <v>630</v>
      </c>
      <c r="AG6" s="14" t="s">
        <v>631</v>
      </c>
      <c r="AH6" s="14" t="s">
        <v>632</v>
      </c>
      <c r="AI6" s="14" t="s">
        <v>633</v>
      </c>
      <c r="AJ6" s="14" t="s">
        <v>634</v>
      </c>
      <c r="AK6" s="14" t="s">
        <v>635</v>
      </c>
      <c r="AS6" s="28"/>
      <c r="AT6" s="28"/>
    </row>
    <row r="7" ht="17.6" spans="1:46">
      <c r="A7" s="28" t="s">
        <v>439</v>
      </c>
      <c r="B7" s="28" t="s">
        <v>636</v>
      </c>
      <c r="D7" s="29" t="s">
        <v>637</v>
      </c>
      <c r="E7" s="29" t="s">
        <v>638</v>
      </c>
      <c r="F7" s="28"/>
      <c r="G7" s="34" t="s">
        <v>639</v>
      </c>
      <c r="H7" t="s">
        <v>640</v>
      </c>
      <c r="I7" s="28" t="s">
        <v>641</v>
      </c>
      <c r="J7" s="28" t="s">
        <v>642</v>
      </c>
      <c r="K7" s="28" t="s">
        <v>643</v>
      </c>
      <c r="L7" s="28" t="s">
        <v>644</v>
      </c>
      <c r="M7" s="28" t="s">
        <v>645</v>
      </c>
      <c r="N7" s="28" t="s">
        <v>646</v>
      </c>
      <c r="O7" t="s">
        <v>647</v>
      </c>
      <c r="P7" s="28" t="s">
        <v>648</v>
      </c>
      <c r="Q7" s="28" t="s">
        <v>649</v>
      </c>
      <c r="R7" s="28" t="s">
        <v>650</v>
      </c>
      <c r="S7" s="28" t="s">
        <v>651</v>
      </c>
      <c r="T7" s="28" t="s">
        <v>652</v>
      </c>
      <c r="U7" s="28" t="s">
        <v>653</v>
      </c>
      <c r="V7" s="28" t="s">
        <v>654</v>
      </c>
      <c r="W7" s="28" t="s">
        <v>655</v>
      </c>
      <c r="X7" s="28" t="s">
        <v>656</v>
      </c>
      <c r="Y7" s="28" t="s">
        <v>657</v>
      </c>
      <c r="Z7" s="28" t="s">
        <v>658</v>
      </c>
      <c r="AA7" s="28" t="s">
        <v>659</v>
      </c>
      <c r="AB7" t="s">
        <v>660</v>
      </c>
      <c r="AC7" s="33" t="s">
        <v>661</v>
      </c>
      <c r="AD7" s="39" t="s">
        <v>662</v>
      </c>
      <c r="AE7" s="14" t="s">
        <v>663</v>
      </c>
      <c r="AF7" s="14" t="s">
        <v>664</v>
      </c>
      <c r="AG7" s="14" t="s">
        <v>665</v>
      </c>
      <c r="AH7" s="14" t="s">
        <v>666</v>
      </c>
      <c r="AI7" s="14" t="s">
        <v>667</v>
      </c>
      <c r="AK7" s="14" t="s">
        <v>668</v>
      </c>
      <c r="AS7" s="28"/>
      <c r="AT7" s="28"/>
    </row>
    <row r="8" ht="17.6" spans="1:46">
      <c r="A8" s="28" t="s">
        <v>440</v>
      </c>
      <c r="B8" s="28" t="s">
        <v>669</v>
      </c>
      <c r="D8" s="29" t="s">
        <v>639</v>
      </c>
      <c r="E8" s="29" t="s">
        <v>670</v>
      </c>
      <c r="F8" s="28"/>
      <c r="G8" s="34" t="s">
        <v>671</v>
      </c>
      <c r="H8" t="s">
        <v>672</v>
      </c>
      <c r="I8" s="28" t="s">
        <v>673</v>
      </c>
      <c r="J8" s="28" t="s">
        <v>674</v>
      </c>
      <c r="K8" s="28" t="s">
        <v>675</v>
      </c>
      <c r="L8" s="28" t="s">
        <v>676</v>
      </c>
      <c r="M8" s="28" t="s">
        <v>677</v>
      </c>
      <c r="N8" s="28" t="s">
        <v>678</v>
      </c>
      <c r="O8" t="s">
        <v>679</v>
      </c>
      <c r="P8" s="28" t="s">
        <v>680</v>
      </c>
      <c r="Q8" s="28" t="s">
        <v>681</v>
      </c>
      <c r="R8" s="28" t="s">
        <v>682</v>
      </c>
      <c r="S8" s="28" t="s">
        <v>683</v>
      </c>
      <c r="T8" s="28" t="s">
        <v>684</v>
      </c>
      <c r="U8" s="28" t="s">
        <v>685</v>
      </c>
      <c r="V8" s="28" t="s">
        <v>686</v>
      </c>
      <c r="W8" s="28" t="s">
        <v>687</v>
      </c>
      <c r="X8" s="28" t="s">
        <v>688</v>
      </c>
      <c r="Y8" s="28" t="s">
        <v>689</v>
      </c>
      <c r="Z8" s="28" t="s">
        <v>690</v>
      </c>
      <c r="AA8" s="28" t="s">
        <v>691</v>
      </c>
      <c r="AB8" t="s">
        <v>692</v>
      </c>
      <c r="AC8" s="33" t="s">
        <v>693</v>
      </c>
      <c r="AD8" s="33" t="s">
        <v>694</v>
      </c>
      <c r="AE8" s="14" t="s">
        <v>695</v>
      </c>
      <c r="AF8" s="14" t="s">
        <v>696</v>
      </c>
      <c r="AG8" s="14" t="s">
        <v>697</v>
      </c>
      <c r="AH8" s="14" t="s">
        <v>698</v>
      </c>
      <c r="AI8" s="14" t="s">
        <v>699</v>
      </c>
      <c r="AK8" s="14" t="s">
        <v>700</v>
      </c>
      <c r="AS8" s="28"/>
      <c r="AT8" s="28"/>
    </row>
    <row r="9" ht="17.6" spans="1:37">
      <c r="A9" s="28" t="s">
        <v>441</v>
      </c>
      <c r="B9" s="28" t="s">
        <v>701</v>
      </c>
      <c r="D9" s="29" t="s">
        <v>702</v>
      </c>
      <c r="E9" s="29" t="s">
        <v>703</v>
      </c>
      <c r="F9" s="28"/>
      <c r="G9" s="34" t="s">
        <v>702</v>
      </c>
      <c r="H9" t="s">
        <v>704</v>
      </c>
      <c r="I9" s="28" t="s">
        <v>705</v>
      </c>
      <c r="J9" s="28" t="s">
        <v>706</v>
      </c>
      <c r="K9" s="28" t="s">
        <v>707</v>
      </c>
      <c r="L9" s="28" t="s">
        <v>708</v>
      </c>
      <c r="M9" s="28" t="s">
        <v>709</v>
      </c>
      <c r="N9" s="28" t="s">
        <v>710</v>
      </c>
      <c r="O9" t="s">
        <v>711</v>
      </c>
      <c r="P9" s="28" t="s">
        <v>712</v>
      </c>
      <c r="Q9" s="28" t="s">
        <v>713</v>
      </c>
      <c r="R9" s="28" t="s">
        <v>714</v>
      </c>
      <c r="S9" s="28" t="s">
        <v>715</v>
      </c>
      <c r="T9" s="28" t="s">
        <v>716</v>
      </c>
      <c r="U9" s="28" t="s">
        <v>717</v>
      </c>
      <c r="V9" s="28" t="s">
        <v>718</v>
      </c>
      <c r="W9" s="28" t="s">
        <v>719</v>
      </c>
      <c r="X9" s="28" t="s">
        <v>720</v>
      </c>
      <c r="Y9" s="28" t="s">
        <v>721</v>
      </c>
      <c r="Z9" s="28" t="s">
        <v>722</v>
      </c>
      <c r="AA9" s="28" t="s">
        <v>723</v>
      </c>
      <c r="AB9" t="s">
        <v>724</v>
      </c>
      <c r="AC9" s="33" t="s">
        <v>725</v>
      </c>
      <c r="AD9" s="33" t="s">
        <v>726</v>
      </c>
      <c r="AE9" s="14" t="s">
        <v>727</v>
      </c>
      <c r="AF9" s="14" t="s">
        <v>728</v>
      </c>
      <c r="AG9" s="14" t="s">
        <v>729</v>
      </c>
      <c r="AH9" s="14" t="s">
        <v>730</v>
      </c>
      <c r="AI9" s="14" t="s">
        <v>731</v>
      </c>
      <c r="AK9" s="14" t="s">
        <v>732</v>
      </c>
    </row>
    <row r="10" ht="17.6" spans="1:37">
      <c r="A10" s="28" t="s">
        <v>442</v>
      </c>
      <c r="B10" s="28" t="s">
        <v>733</v>
      </c>
      <c r="D10" s="29" t="s">
        <v>734</v>
      </c>
      <c r="E10" s="29" t="s">
        <v>735</v>
      </c>
      <c r="F10" s="28"/>
      <c r="G10" s="34" t="s">
        <v>736</v>
      </c>
      <c r="H10" t="s">
        <v>737</v>
      </c>
      <c r="I10" s="28" t="s">
        <v>738</v>
      </c>
      <c r="J10" s="28" t="s">
        <v>739</v>
      </c>
      <c r="K10" s="28" t="s">
        <v>740</v>
      </c>
      <c r="L10" s="28" t="s">
        <v>741</v>
      </c>
      <c r="M10" s="28" t="s">
        <v>742</v>
      </c>
      <c r="N10" s="28" t="s">
        <v>743</v>
      </c>
      <c r="O10" t="s">
        <v>744</v>
      </c>
      <c r="P10" s="28" t="s">
        <v>745</v>
      </c>
      <c r="Q10" s="28" t="s">
        <v>746</v>
      </c>
      <c r="R10" s="28" t="s">
        <v>747</v>
      </c>
      <c r="S10" s="28" t="s">
        <v>748</v>
      </c>
      <c r="T10" s="28" t="s">
        <v>749</v>
      </c>
      <c r="U10" s="28" t="s">
        <v>750</v>
      </c>
      <c r="V10" s="28" t="s">
        <v>751</v>
      </c>
      <c r="W10" s="28" t="s">
        <v>752</v>
      </c>
      <c r="X10" s="28" t="s">
        <v>753</v>
      </c>
      <c r="Y10" s="28" t="s">
        <v>754</v>
      </c>
      <c r="Z10" s="28" t="s">
        <v>755</v>
      </c>
      <c r="AA10" s="28" t="s">
        <v>756</v>
      </c>
      <c r="AB10" t="s">
        <v>757</v>
      </c>
      <c r="AC10" s="33" t="s">
        <v>758</v>
      </c>
      <c r="AD10" s="33" t="s">
        <v>759</v>
      </c>
      <c r="AE10" s="14" t="s">
        <v>760</v>
      </c>
      <c r="AF10" s="14" t="s">
        <v>761</v>
      </c>
      <c r="AG10" s="14" t="s">
        <v>762</v>
      </c>
      <c r="AH10" s="14" t="s">
        <v>763</v>
      </c>
      <c r="AK10" s="14" t="s">
        <v>764</v>
      </c>
    </row>
    <row r="11" ht="17.6" spans="1:37">
      <c r="A11" s="28" t="s">
        <v>443</v>
      </c>
      <c r="B11" s="28" t="s">
        <v>765</v>
      </c>
      <c r="D11" s="29" t="s">
        <v>736</v>
      </c>
      <c r="E11" s="29" t="s">
        <v>766</v>
      </c>
      <c r="F11" s="28"/>
      <c r="G11" s="34" t="s">
        <v>637</v>
      </c>
      <c r="H11" t="s">
        <v>767</v>
      </c>
      <c r="I11" s="28" t="s">
        <v>768</v>
      </c>
      <c r="J11" s="28" t="s">
        <v>769</v>
      </c>
      <c r="K11" s="28" t="s">
        <v>770</v>
      </c>
      <c r="L11" s="28" t="s">
        <v>771</v>
      </c>
      <c r="M11" s="28"/>
      <c r="N11" s="28" t="s">
        <v>772</v>
      </c>
      <c r="O11" t="s">
        <v>773</v>
      </c>
      <c r="P11" s="28" t="s">
        <v>774</v>
      </c>
      <c r="Q11" s="28" t="s">
        <v>775</v>
      </c>
      <c r="R11" s="28" t="s">
        <v>776</v>
      </c>
      <c r="S11" s="28"/>
      <c r="T11" s="28" t="s">
        <v>777</v>
      </c>
      <c r="U11" s="28" t="s">
        <v>778</v>
      </c>
      <c r="V11" s="28" t="s">
        <v>779</v>
      </c>
      <c r="W11" s="28" t="s">
        <v>780</v>
      </c>
      <c r="X11" s="28" t="s">
        <v>781</v>
      </c>
      <c r="Y11" s="28" t="s">
        <v>782</v>
      </c>
      <c r="Z11" s="28" t="s">
        <v>783</v>
      </c>
      <c r="AA11" s="28" t="s">
        <v>784</v>
      </c>
      <c r="AB11" s="37" t="s">
        <v>785</v>
      </c>
      <c r="AC11" s="33" t="s">
        <v>786</v>
      </c>
      <c r="AD11" s="33" t="s">
        <v>787</v>
      </c>
      <c r="AE11" s="14" t="s">
        <v>788</v>
      </c>
      <c r="AF11" s="14" t="s">
        <v>789</v>
      </c>
      <c r="AG11" s="14" t="s">
        <v>790</v>
      </c>
      <c r="AH11" s="14" t="s">
        <v>791</v>
      </c>
      <c r="AK11" s="14" t="s">
        <v>792</v>
      </c>
    </row>
    <row r="12" ht="17.6" spans="1:37">
      <c r="A12" s="28" t="s">
        <v>444</v>
      </c>
      <c r="B12" s="28" t="s">
        <v>793</v>
      </c>
      <c r="D12" s="29" t="s">
        <v>794</v>
      </c>
      <c r="E12" s="29" t="s">
        <v>795</v>
      </c>
      <c r="F12" s="28"/>
      <c r="G12" s="34" t="s">
        <v>796</v>
      </c>
      <c r="H12" t="s">
        <v>797</v>
      </c>
      <c r="I12" s="28" t="s">
        <v>798</v>
      </c>
      <c r="J12" s="28" t="s">
        <v>799</v>
      </c>
      <c r="K12" s="28" t="s">
        <v>800</v>
      </c>
      <c r="L12" s="28" t="s">
        <v>801</v>
      </c>
      <c r="M12" s="28"/>
      <c r="N12" s="28" t="s">
        <v>802</v>
      </c>
      <c r="O12" t="s">
        <v>803</v>
      </c>
      <c r="P12" s="28" t="s">
        <v>804</v>
      </c>
      <c r="Q12" s="28" t="s">
        <v>805</v>
      </c>
      <c r="R12" s="28" t="s">
        <v>806</v>
      </c>
      <c r="S12" s="28"/>
      <c r="T12" s="28" t="s">
        <v>807</v>
      </c>
      <c r="U12" s="28" t="s">
        <v>808</v>
      </c>
      <c r="V12" s="28" t="s">
        <v>809</v>
      </c>
      <c r="W12" s="28" t="s">
        <v>810</v>
      </c>
      <c r="X12" s="28" t="s">
        <v>811</v>
      </c>
      <c r="Y12" s="28" t="s">
        <v>812</v>
      </c>
      <c r="Z12" s="28" t="s">
        <v>813</v>
      </c>
      <c r="AA12" s="28" t="s">
        <v>814</v>
      </c>
      <c r="AB12" s="37" t="s">
        <v>815</v>
      </c>
      <c r="AC12" s="33" t="s">
        <v>816</v>
      </c>
      <c r="AD12" s="33" t="s">
        <v>817</v>
      </c>
      <c r="AE12" s="14" t="s">
        <v>818</v>
      </c>
      <c r="AF12" s="14" t="s">
        <v>819</v>
      </c>
      <c r="AH12" s="14" t="s">
        <v>820</v>
      </c>
      <c r="AK12" s="14" t="s">
        <v>821</v>
      </c>
    </row>
    <row r="13" ht="17.6" spans="1:37">
      <c r="A13" s="28" t="s">
        <v>445</v>
      </c>
      <c r="B13" s="28" t="s">
        <v>822</v>
      </c>
      <c r="D13" s="29" t="s">
        <v>823</v>
      </c>
      <c r="E13" s="29" t="s">
        <v>824</v>
      </c>
      <c r="F13" s="28"/>
      <c r="G13" s="34" t="s">
        <v>825</v>
      </c>
      <c r="H13" t="s">
        <v>826</v>
      </c>
      <c r="I13" s="28"/>
      <c r="J13" s="28" t="s">
        <v>827</v>
      </c>
      <c r="K13" s="28" t="s">
        <v>828</v>
      </c>
      <c r="L13" s="28" t="s">
        <v>829</v>
      </c>
      <c r="M13" s="28"/>
      <c r="N13" s="28" t="s">
        <v>830</v>
      </c>
      <c r="O13" t="s">
        <v>831</v>
      </c>
      <c r="P13" s="28" t="s">
        <v>832</v>
      </c>
      <c r="Q13" s="28"/>
      <c r="R13" s="28" t="s">
        <v>833</v>
      </c>
      <c r="S13" s="28"/>
      <c r="T13" s="28"/>
      <c r="U13" s="28" t="s">
        <v>834</v>
      </c>
      <c r="V13" s="28" t="s">
        <v>835</v>
      </c>
      <c r="W13" s="28" t="s">
        <v>836</v>
      </c>
      <c r="X13" s="28" t="s">
        <v>837</v>
      </c>
      <c r="Y13" s="28" t="s">
        <v>838</v>
      </c>
      <c r="Z13" s="28" t="s">
        <v>839</v>
      </c>
      <c r="AA13" s="28" t="s">
        <v>840</v>
      </c>
      <c r="AB13" t="s">
        <v>841</v>
      </c>
      <c r="AC13" s="33" t="s">
        <v>842</v>
      </c>
      <c r="AD13" s="33"/>
      <c r="AE13" s="14" t="s">
        <v>843</v>
      </c>
      <c r="AH13" s="14" t="s">
        <v>844</v>
      </c>
      <c r="AK13" s="14" t="s">
        <v>845</v>
      </c>
    </row>
    <row r="14" ht="17.6" spans="1:37">
      <c r="A14" s="28" t="s">
        <v>446</v>
      </c>
      <c r="B14" s="28" t="s">
        <v>846</v>
      </c>
      <c r="D14" s="29" t="s">
        <v>671</v>
      </c>
      <c r="E14" s="29" t="s">
        <v>847</v>
      </c>
      <c r="F14" s="28"/>
      <c r="G14" s="34" t="s">
        <v>470</v>
      </c>
      <c r="H14" t="s">
        <v>848</v>
      </c>
      <c r="I14" s="28"/>
      <c r="J14" s="28"/>
      <c r="K14" s="28" t="s">
        <v>849</v>
      </c>
      <c r="L14" s="28" t="s">
        <v>850</v>
      </c>
      <c r="M14" s="28"/>
      <c r="N14" s="28" t="s">
        <v>851</v>
      </c>
      <c r="O14" t="s">
        <v>852</v>
      </c>
      <c r="P14" s="28" t="s">
        <v>853</v>
      </c>
      <c r="Q14" s="28"/>
      <c r="R14" s="28" t="s">
        <v>854</v>
      </c>
      <c r="S14" s="28"/>
      <c r="T14" s="28"/>
      <c r="U14" s="28" t="s">
        <v>855</v>
      </c>
      <c r="V14" s="28" t="s">
        <v>856</v>
      </c>
      <c r="W14" s="28" t="s">
        <v>857</v>
      </c>
      <c r="X14" s="28" t="s">
        <v>858</v>
      </c>
      <c r="Y14" s="28" t="s">
        <v>859</v>
      </c>
      <c r="Z14" s="28" t="s">
        <v>860</v>
      </c>
      <c r="AA14" s="28" t="s">
        <v>861</v>
      </c>
      <c r="AB14" t="s">
        <v>862</v>
      </c>
      <c r="AC14" s="33" t="s">
        <v>863</v>
      </c>
      <c r="AD14" s="33"/>
      <c r="AE14" s="14" t="s">
        <v>864</v>
      </c>
      <c r="AH14" s="14" t="s">
        <v>865</v>
      </c>
      <c r="AK14" s="14" t="s">
        <v>866</v>
      </c>
    </row>
    <row r="15" ht="17.6" spans="1:37">
      <c r="A15" s="28" t="s">
        <v>447</v>
      </c>
      <c r="B15" s="28" t="s">
        <v>867</v>
      </c>
      <c r="D15" s="29" t="s">
        <v>825</v>
      </c>
      <c r="E15" s="29" t="s">
        <v>868</v>
      </c>
      <c r="F15" s="28"/>
      <c r="G15" s="34" t="s">
        <v>571</v>
      </c>
      <c r="H15" t="s">
        <v>869</v>
      </c>
      <c r="I15" s="28"/>
      <c r="J15" s="28"/>
      <c r="K15" s="28" t="s">
        <v>870</v>
      </c>
      <c r="L15" s="28" t="s">
        <v>871</v>
      </c>
      <c r="M15" s="28"/>
      <c r="N15" s="28"/>
      <c r="O15" t="s">
        <v>872</v>
      </c>
      <c r="P15" s="28"/>
      <c r="Q15" s="28"/>
      <c r="R15" s="28" t="s">
        <v>873</v>
      </c>
      <c r="S15" s="28"/>
      <c r="T15" s="28"/>
      <c r="U15" s="28" t="s">
        <v>874</v>
      </c>
      <c r="V15" s="28" t="s">
        <v>875</v>
      </c>
      <c r="W15" s="36" t="s">
        <v>876</v>
      </c>
      <c r="X15" s="28" t="s">
        <v>877</v>
      </c>
      <c r="Y15" s="28" t="s">
        <v>878</v>
      </c>
      <c r="Z15" s="28" t="s">
        <v>879</v>
      </c>
      <c r="AA15" s="28" t="s">
        <v>880</v>
      </c>
      <c r="AB15" t="s">
        <v>881</v>
      </c>
      <c r="AC15" s="33" t="s">
        <v>882</v>
      </c>
      <c r="AD15" s="33"/>
      <c r="AE15" s="14" t="s">
        <v>883</v>
      </c>
      <c r="AH15" s="14" t="s">
        <v>884</v>
      </c>
      <c r="AK15" s="14" t="s">
        <v>885</v>
      </c>
    </row>
    <row r="16" ht="17.6" spans="1:37">
      <c r="A16" s="28" t="s">
        <v>448</v>
      </c>
      <c r="B16" s="28" t="s">
        <v>886</v>
      </c>
      <c r="D16" s="29" t="s">
        <v>796</v>
      </c>
      <c r="E16" s="29" t="s">
        <v>887</v>
      </c>
      <c r="F16" s="28"/>
      <c r="G16" s="34" t="s">
        <v>734</v>
      </c>
      <c r="H16" t="s">
        <v>888</v>
      </c>
      <c r="I16" s="28"/>
      <c r="J16" s="28"/>
      <c r="K16" s="28"/>
      <c r="L16" s="28"/>
      <c r="M16" s="28"/>
      <c r="N16" s="28"/>
      <c r="O16" t="s">
        <v>889</v>
      </c>
      <c r="P16" s="28"/>
      <c r="Q16" s="28"/>
      <c r="R16" s="28" t="s">
        <v>890</v>
      </c>
      <c r="S16" s="28"/>
      <c r="T16" s="28"/>
      <c r="U16" s="28" t="s">
        <v>891</v>
      </c>
      <c r="V16" s="28" t="s">
        <v>892</v>
      </c>
      <c r="W16" s="36" t="s">
        <v>893</v>
      </c>
      <c r="X16" s="28"/>
      <c r="Y16" s="28" t="s">
        <v>894</v>
      </c>
      <c r="Z16" s="28" t="s">
        <v>895</v>
      </c>
      <c r="AA16" s="28" t="s">
        <v>896</v>
      </c>
      <c r="AB16" t="s">
        <v>897</v>
      </c>
      <c r="AC16" s="33" t="s">
        <v>898</v>
      </c>
      <c r="AD16" s="33"/>
      <c r="AE16" s="14" t="s">
        <v>899</v>
      </c>
      <c r="AH16" s="14" t="s">
        <v>900</v>
      </c>
      <c r="AK16" s="14" t="s">
        <v>901</v>
      </c>
    </row>
    <row r="17" ht="17.6" spans="1:37">
      <c r="A17" s="28" t="s">
        <v>449</v>
      </c>
      <c r="B17" s="28" t="s">
        <v>902</v>
      </c>
      <c r="D17" s="29" t="s">
        <v>506</v>
      </c>
      <c r="E17" s="29" t="s">
        <v>903</v>
      </c>
      <c r="F17" s="28"/>
      <c r="G17" s="34" t="s">
        <v>823</v>
      </c>
      <c r="H17" t="s">
        <v>904</v>
      </c>
      <c r="I17" s="28"/>
      <c r="J17" s="28"/>
      <c r="K17" s="28"/>
      <c r="L17" s="28"/>
      <c r="M17" s="28"/>
      <c r="N17" s="28"/>
      <c r="O17" t="s">
        <v>905</v>
      </c>
      <c r="P17" s="28"/>
      <c r="Q17" s="28"/>
      <c r="R17" s="28" t="s">
        <v>906</v>
      </c>
      <c r="S17" s="28"/>
      <c r="T17" s="28"/>
      <c r="U17" s="28" t="s">
        <v>907</v>
      </c>
      <c r="V17" s="28" t="s">
        <v>908</v>
      </c>
      <c r="W17" s="36" t="s">
        <v>909</v>
      </c>
      <c r="X17" s="28"/>
      <c r="Y17" s="28" t="s">
        <v>910</v>
      </c>
      <c r="Z17" s="28" t="s">
        <v>911</v>
      </c>
      <c r="AA17" s="28" t="s">
        <v>912</v>
      </c>
      <c r="AB17" t="s">
        <v>913</v>
      </c>
      <c r="AC17" s="14" t="s">
        <v>914</v>
      </c>
      <c r="AD17" s="33"/>
      <c r="AE17" s="14" t="s">
        <v>915</v>
      </c>
      <c r="AH17" s="14" t="s">
        <v>916</v>
      </c>
      <c r="AK17" s="14" t="s">
        <v>917</v>
      </c>
    </row>
    <row r="18" ht="17.6" spans="1:37">
      <c r="A18" s="28" t="s">
        <v>450</v>
      </c>
      <c r="B18" s="28" t="s">
        <v>918</v>
      </c>
      <c r="D18" s="30" t="s">
        <v>573</v>
      </c>
      <c r="E18" s="30" t="s">
        <v>919</v>
      </c>
      <c r="F18" s="28"/>
      <c r="G18" s="34" t="s">
        <v>794</v>
      </c>
      <c r="H18" t="s">
        <v>920</v>
      </c>
      <c r="I18" s="28"/>
      <c r="J18" s="28"/>
      <c r="K18" s="28"/>
      <c r="L18" s="28"/>
      <c r="M18" s="28"/>
      <c r="N18" s="28"/>
      <c r="O18" t="s">
        <v>921</v>
      </c>
      <c r="P18" s="28"/>
      <c r="Q18" s="28"/>
      <c r="R18" s="28" t="s">
        <v>922</v>
      </c>
      <c r="S18" s="28"/>
      <c r="T18" s="28"/>
      <c r="U18" s="28" t="s">
        <v>923</v>
      </c>
      <c r="V18" s="28" t="s">
        <v>924</v>
      </c>
      <c r="W18" s="36" t="s">
        <v>925</v>
      </c>
      <c r="X18" s="28"/>
      <c r="Y18" s="28" t="s">
        <v>926</v>
      </c>
      <c r="Z18" s="28"/>
      <c r="AA18" s="28" t="s">
        <v>927</v>
      </c>
      <c r="AB18" t="s">
        <v>928</v>
      </c>
      <c r="AC18" s="14" t="s">
        <v>929</v>
      </c>
      <c r="AD18" s="33"/>
      <c r="AE18" s="14" t="s">
        <v>930</v>
      </c>
      <c r="AK18" s="14" t="s">
        <v>931</v>
      </c>
    </row>
    <row r="19" ht="14.4" spans="1:37">
      <c r="A19" s="28" t="s">
        <v>451</v>
      </c>
      <c r="B19" s="28" t="s">
        <v>932</v>
      </c>
      <c r="D19" s="29" t="s">
        <v>933</v>
      </c>
      <c r="E19" s="29" t="s">
        <v>934</v>
      </c>
      <c r="F19" s="28"/>
      <c r="G19" s="34" t="s">
        <v>933</v>
      </c>
      <c r="H19" t="s">
        <v>935</v>
      </c>
      <c r="I19" s="28"/>
      <c r="J19" s="28"/>
      <c r="K19" s="28"/>
      <c r="L19" s="28"/>
      <c r="M19" s="28"/>
      <c r="N19" s="28"/>
      <c r="O19" t="s">
        <v>936</v>
      </c>
      <c r="P19" s="28"/>
      <c r="Q19" s="28"/>
      <c r="R19" s="28"/>
      <c r="S19" s="28"/>
      <c r="T19" s="28"/>
      <c r="U19" s="28"/>
      <c r="V19" s="36" t="s">
        <v>937</v>
      </c>
      <c r="W19" s="28"/>
      <c r="X19" s="28"/>
      <c r="Y19" s="28" t="s">
        <v>938</v>
      </c>
      <c r="Z19" s="28"/>
      <c r="AA19" s="28" t="s">
        <v>939</v>
      </c>
      <c r="AB19" t="s">
        <v>940</v>
      </c>
      <c r="AC19" s="14" t="s">
        <v>941</v>
      </c>
      <c r="AE19" s="14" t="s">
        <v>942</v>
      </c>
      <c r="AK19" s="14" t="s">
        <v>943</v>
      </c>
    </row>
    <row r="20" ht="14.4" spans="1:37">
      <c r="A20" s="28" t="s">
        <v>452</v>
      </c>
      <c r="B20" s="28" t="s">
        <v>944</v>
      </c>
      <c r="D20" s="31" t="s">
        <v>888</v>
      </c>
      <c r="E20" s="31" t="s">
        <v>945</v>
      </c>
      <c r="F20" s="28"/>
      <c r="G20" s="34"/>
      <c r="H20" t="s">
        <v>946</v>
      </c>
      <c r="I20" s="28"/>
      <c r="J20" s="28"/>
      <c r="K20" s="28"/>
      <c r="L20" s="28"/>
      <c r="M20" s="28"/>
      <c r="N20" s="28"/>
      <c r="O20" t="s">
        <v>947</v>
      </c>
      <c r="P20" s="28"/>
      <c r="Q20" s="28"/>
      <c r="R20" s="28"/>
      <c r="S20" s="28"/>
      <c r="T20" s="28"/>
      <c r="U20" s="28"/>
      <c r="V20" s="28"/>
      <c r="W20" s="28"/>
      <c r="X20" s="28"/>
      <c r="Y20" s="28" t="s">
        <v>948</v>
      </c>
      <c r="Z20" s="28"/>
      <c r="AA20" s="28" t="s">
        <v>949</v>
      </c>
      <c r="AB20" t="s">
        <v>950</v>
      </c>
      <c r="AC20" s="14" t="s">
        <v>951</v>
      </c>
      <c r="AE20" s="14" t="s">
        <v>952</v>
      </c>
      <c r="AK20" s="14" t="s">
        <v>953</v>
      </c>
    </row>
    <row r="21" ht="14.4" spans="1:37">
      <c r="A21" s="28" t="s">
        <v>453</v>
      </c>
      <c r="B21" s="28" t="s">
        <v>954</v>
      </c>
      <c r="D21" s="31" t="s">
        <v>848</v>
      </c>
      <c r="E21" s="31" t="s">
        <v>955</v>
      </c>
      <c r="F21" s="28"/>
      <c r="G21" s="34"/>
      <c r="H21"/>
      <c r="I21" s="28"/>
      <c r="J21" s="28"/>
      <c r="K21" s="28"/>
      <c r="L21" s="28"/>
      <c r="M21" s="28"/>
      <c r="N21" s="28"/>
      <c r="O21"/>
      <c r="P21" s="28"/>
      <c r="Q21" s="28"/>
      <c r="R21" s="28"/>
      <c r="S21" s="28"/>
      <c r="T21" s="28"/>
      <c r="U21" s="28"/>
      <c r="V21" s="28"/>
      <c r="W21" s="28"/>
      <c r="X21" s="28"/>
      <c r="Y21" s="28" t="s">
        <v>956</v>
      </c>
      <c r="Z21" s="28"/>
      <c r="AA21" s="28" t="s">
        <v>957</v>
      </c>
      <c r="AB21" s="37" t="s">
        <v>958</v>
      </c>
      <c r="AC21" s="14" t="s">
        <v>959</v>
      </c>
      <c r="AK21" s="14" t="s">
        <v>960</v>
      </c>
    </row>
    <row r="22" ht="14.4" spans="1:37">
      <c r="A22" s="28" t="s">
        <v>454</v>
      </c>
      <c r="B22" s="28" t="s">
        <v>961</v>
      </c>
      <c r="D22" s="31" t="s">
        <v>904</v>
      </c>
      <c r="E22" s="31" t="s">
        <v>962</v>
      </c>
      <c r="F22" s="28"/>
      <c r="G22" s="28"/>
      <c r="H22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 t="s">
        <v>963</v>
      </c>
      <c r="Z22" s="28"/>
      <c r="AA22" s="28" t="s">
        <v>964</v>
      </c>
      <c r="AB22" s="37" t="s">
        <v>965</v>
      </c>
      <c r="AC22" s="14" t="s">
        <v>966</v>
      </c>
      <c r="AK22" s="14" t="s">
        <v>967</v>
      </c>
    </row>
    <row r="23" ht="14.4" spans="1:37">
      <c r="A23" s="28" t="s">
        <v>455</v>
      </c>
      <c r="B23" s="28" t="s">
        <v>968</v>
      </c>
      <c r="C23" s="28"/>
      <c r="D23" s="32" t="s">
        <v>737</v>
      </c>
      <c r="E23" s="30" t="s">
        <v>969</v>
      </c>
      <c r="F23" s="28"/>
      <c r="G23" s="28"/>
      <c r="H23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 t="s">
        <v>970</v>
      </c>
      <c r="AB23" s="37" t="s">
        <v>971</v>
      </c>
      <c r="AK23" s="14" t="s">
        <v>972</v>
      </c>
    </row>
    <row r="24" ht="14.4" spans="1:37">
      <c r="A24" s="28" t="s">
        <v>456</v>
      </c>
      <c r="B24" s="28" t="s">
        <v>973</v>
      </c>
      <c r="C24" s="28"/>
      <c r="D24" s="31" t="s">
        <v>767</v>
      </c>
      <c r="E24" s="31" t="s">
        <v>974</v>
      </c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 t="s">
        <v>975</v>
      </c>
      <c r="AB24" s="37" t="s">
        <v>976</v>
      </c>
      <c r="AK24" s="14" t="s">
        <v>977</v>
      </c>
    </row>
    <row r="25" ht="14.4" spans="1:37">
      <c r="A25" s="28" t="s">
        <v>457</v>
      </c>
      <c r="B25" s="28" t="s">
        <v>978</v>
      </c>
      <c r="C25" s="28"/>
      <c r="D25" s="32" t="s">
        <v>704</v>
      </c>
      <c r="E25" s="30" t="s">
        <v>979</v>
      </c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37" t="s">
        <v>980</v>
      </c>
      <c r="AK25" s="14" t="s">
        <v>981</v>
      </c>
    </row>
    <row r="26" ht="14.4" spans="1:37">
      <c r="A26" s="28" t="s">
        <v>458</v>
      </c>
      <c r="B26" s="28" t="s">
        <v>982</v>
      </c>
      <c r="C26" s="28"/>
      <c r="D26" s="31" t="s">
        <v>473</v>
      </c>
      <c r="E26" s="31" t="s">
        <v>983</v>
      </c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37" t="s">
        <v>984</v>
      </c>
      <c r="AK26" s="14" t="s">
        <v>985</v>
      </c>
    </row>
    <row r="27" ht="14.4" spans="1:37">
      <c r="A27" s="28" t="s">
        <v>459</v>
      </c>
      <c r="B27" s="28" t="s">
        <v>986</v>
      </c>
      <c r="C27" s="28"/>
      <c r="D27" s="31" t="s">
        <v>606</v>
      </c>
      <c r="E27" s="31" t="s">
        <v>987</v>
      </c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37" t="s">
        <v>988</v>
      </c>
      <c r="AK27" s="14" t="s">
        <v>989</v>
      </c>
    </row>
    <row r="28" ht="14.4" spans="1:28">
      <c r="A28" s="28" t="s">
        <v>460</v>
      </c>
      <c r="B28" s="28" t="s">
        <v>990</v>
      </c>
      <c r="C28" s="28"/>
      <c r="D28" s="31" t="s">
        <v>507</v>
      </c>
      <c r="E28" s="31" t="s">
        <v>991</v>
      </c>
      <c r="F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B28" s="38"/>
    </row>
    <row r="29" ht="14.4" spans="1:28">
      <c r="A29" s="28" t="s">
        <v>461</v>
      </c>
      <c r="B29" s="28" t="s">
        <v>992</v>
      </c>
      <c r="C29" s="28"/>
      <c r="D29" s="31" t="s">
        <v>540</v>
      </c>
      <c r="E29" s="31" t="s">
        <v>993</v>
      </c>
      <c r="F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B29" s="38"/>
    </row>
    <row r="30" ht="14.4" spans="1:28">
      <c r="A30" s="28" t="s">
        <v>462</v>
      </c>
      <c r="B30" s="28" t="s">
        <v>994</v>
      </c>
      <c r="C30" s="28"/>
      <c r="D30" s="31" t="s">
        <v>640</v>
      </c>
      <c r="E30" s="31" t="s">
        <v>995</v>
      </c>
      <c r="F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B30" s="38"/>
    </row>
    <row r="31" ht="14.4" spans="1:28">
      <c r="A31" s="28" t="s">
        <v>463</v>
      </c>
      <c r="B31" s="28" t="s">
        <v>996</v>
      </c>
      <c r="D31" s="31" t="s">
        <v>946</v>
      </c>
      <c r="E31" s="31" t="s">
        <v>997</v>
      </c>
      <c r="F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W31" s="28"/>
      <c r="X31" s="28"/>
      <c r="Y31" s="28"/>
      <c r="Z31" s="28"/>
      <c r="AB31" s="38"/>
    </row>
    <row r="32" ht="14.4" spans="1:28">
      <c r="A32" s="28" t="s">
        <v>464</v>
      </c>
      <c r="B32" s="28" t="s">
        <v>998</v>
      </c>
      <c r="D32" s="31" t="s">
        <v>826</v>
      </c>
      <c r="E32" s="31" t="s">
        <v>999</v>
      </c>
      <c r="F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W32" s="28"/>
      <c r="X32" s="28"/>
      <c r="Y32" s="28"/>
      <c r="Z32" s="28"/>
      <c r="AB32" s="38"/>
    </row>
    <row r="33" ht="14.4" spans="1:28">
      <c r="A33" s="28" t="s">
        <v>465</v>
      </c>
      <c r="B33" s="28" t="s">
        <v>1000</v>
      </c>
      <c r="D33" s="31" t="s">
        <v>935</v>
      </c>
      <c r="E33" s="31" t="s">
        <v>1001</v>
      </c>
      <c r="F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W33" s="28"/>
      <c r="X33" s="28"/>
      <c r="Y33" s="28"/>
      <c r="Z33" s="28"/>
      <c r="AB33" s="38"/>
    </row>
    <row r="34" ht="14.4" spans="1:28">
      <c r="A34" s="28" t="s">
        <v>466</v>
      </c>
      <c r="B34" s="28" t="s">
        <v>1002</v>
      </c>
      <c r="D34" s="31" t="s">
        <v>574</v>
      </c>
      <c r="E34" s="31" t="s">
        <v>1003</v>
      </c>
      <c r="F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W34" s="28"/>
      <c r="X34" s="28"/>
      <c r="Y34" s="28"/>
      <c r="Z34" s="28"/>
      <c r="AB34" s="38"/>
    </row>
    <row r="35" ht="14.4" spans="1:28">
      <c r="A35" s="28" t="s">
        <v>467</v>
      </c>
      <c r="B35" s="28" t="s">
        <v>1004</v>
      </c>
      <c r="D35" s="31" t="s">
        <v>920</v>
      </c>
      <c r="E35" s="31" t="s">
        <v>1005</v>
      </c>
      <c r="F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W35" s="28"/>
      <c r="X35" s="28"/>
      <c r="Y35" s="28"/>
      <c r="Z35" s="28"/>
      <c r="AB35" s="38"/>
    </row>
    <row r="36" ht="14.4" spans="1:28">
      <c r="A36" s="28" t="s">
        <v>468</v>
      </c>
      <c r="B36" s="28" t="s">
        <v>1006</v>
      </c>
      <c r="D36" s="32" t="s">
        <v>672</v>
      </c>
      <c r="E36" s="30" t="s">
        <v>1007</v>
      </c>
      <c r="F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W36" s="28"/>
      <c r="X36" s="28"/>
      <c r="Y36" s="28"/>
      <c r="Z36" s="28"/>
      <c r="AB36" s="38"/>
    </row>
    <row r="37" ht="14.4" spans="1:28">
      <c r="A37" s="28"/>
      <c r="B37" s="28"/>
      <c r="D37" s="31" t="s">
        <v>869</v>
      </c>
      <c r="E37" s="31" t="s">
        <v>1008</v>
      </c>
      <c r="F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W37" s="28"/>
      <c r="X37" s="28"/>
      <c r="Y37" s="28"/>
      <c r="Z37" s="28"/>
      <c r="AB37" s="38"/>
    </row>
    <row r="38" ht="14.4" spans="1:28">
      <c r="A38" s="28"/>
      <c r="B38" s="28"/>
      <c r="D38" s="31" t="s">
        <v>797</v>
      </c>
      <c r="E38" s="31" t="s">
        <v>1009</v>
      </c>
      <c r="F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W38" s="28"/>
      <c r="X38" s="28"/>
      <c r="Y38" s="28"/>
      <c r="Z38" s="28"/>
      <c r="AB38" s="38"/>
    </row>
    <row r="39" ht="14.4" spans="1:28">
      <c r="A39" s="28"/>
      <c r="B39" s="28"/>
      <c r="D39" s="27" t="s">
        <v>474</v>
      </c>
      <c r="E39" s="27" t="s">
        <v>1010</v>
      </c>
      <c r="F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W39" s="28"/>
      <c r="X39" s="28"/>
      <c r="Y39" s="28"/>
      <c r="Z39" s="28"/>
      <c r="AB39" s="38"/>
    </row>
    <row r="40" ht="14.4" spans="1:28">
      <c r="A40" s="28"/>
      <c r="B40" s="28"/>
      <c r="D40" s="28" t="s">
        <v>508</v>
      </c>
      <c r="E40" s="28" t="s">
        <v>1011</v>
      </c>
      <c r="F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W40" s="28"/>
      <c r="X40" s="28"/>
      <c r="Y40" s="28"/>
      <c r="Z40" s="28"/>
      <c r="AB40" s="38"/>
    </row>
    <row r="41" ht="14.4" spans="1:28">
      <c r="A41" s="28"/>
      <c r="B41" s="28"/>
      <c r="D41" s="27" t="s">
        <v>541</v>
      </c>
      <c r="E41" s="27" t="s">
        <v>1012</v>
      </c>
      <c r="F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W41" s="28"/>
      <c r="X41" s="28"/>
      <c r="Y41" s="28"/>
      <c r="Z41" s="28"/>
      <c r="AB41" s="38"/>
    </row>
    <row r="42" ht="14.4" spans="1:28">
      <c r="A42" s="28"/>
      <c r="B42" s="28"/>
      <c r="D42" s="28" t="s">
        <v>575</v>
      </c>
      <c r="E42" s="28" t="s">
        <v>1013</v>
      </c>
      <c r="F42" s="28"/>
      <c r="J42" s="28"/>
      <c r="K42" s="28"/>
      <c r="L42" s="28"/>
      <c r="M42" s="28"/>
      <c r="N42" s="28"/>
      <c r="P42" s="28"/>
      <c r="Q42" s="28"/>
      <c r="R42" s="28"/>
      <c r="S42" s="28"/>
      <c r="T42" s="28"/>
      <c r="U42" s="28"/>
      <c r="X42" s="28"/>
      <c r="Y42" s="28"/>
      <c r="Z42" s="28"/>
      <c r="AB42" s="38"/>
    </row>
    <row r="43" ht="14.4" spans="1:28">
      <c r="A43" s="28"/>
      <c r="B43" s="28"/>
      <c r="D43" s="28" t="s">
        <v>607</v>
      </c>
      <c r="E43" s="28" t="s">
        <v>1014</v>
      </c>
      <c r="AB43" s="38"/>
    </row>
    <row r="44" ht="17.6" spans="4:28">
      <c r="D44" s="28" t="s">
        <v>641</v>
      </c>
      <c r="E44" s="28" t="s">
        <v>1015</v>
      </c>
      <c r="O44" s="33"/>
      <c r="W44" s="33"/>
      <c r="AB44" s="38"/>
    </row>
    <row r="45" ht="17.6" spans="4:28">
      <c r="D45" s="28" t="s">
        <v>673</v>
      </c>
      <c r="E45" s="28" t="s">
        <v>1016</v>
      </c>
      <c r="F45" s="35"/>
      <c r="J45" s="33"/>
      <c r="K45" s="33"/>
      <c r="L45" s="33"/>
      <c r="M45" s="33"/>
      <c r="N45" s="33"/>
      <c r="P45" s="33"/>
      <c r="Q45" s="33"/>
      <c r="R45" s="33"/>
      <c r="S45" s="33"/>
      <c r="T45" s="33"/>
      <c r="U45" s="33"/>
      <c r="X45" s="33"/>
      <c r="Y45" s="33"/>
      <c r="Z45" s="33"/>
      <c r="AB45" s="38"/>
    </row>
    <row r="46" ht="17.6" spans="1:28">
      <c r="A46" s="33"/>
      <c r="B46" s="33"/>
      <c r="D46" s="28" t="s">
        <v>705</v>
      </c>
      <c r="E46" s="28" t="s">
        <v>1017</v>
      </c>
      <c r="AB46" s="38"/>
    </row>
    <row r="47" ht="14.4" spans="4:28">
      <c r="D47" s="28" t="s">
        <v>738</v>
      </c>
      <c r="E47" s="28" t="s">
        <v>1018</v>
      </c>
      <c r="AB47" s="38"/>
    </row>
    <row r="48" ht="14.4" spans="4:28">
      <c r="D48" s="28" t="s">
        <v>768</v>
      </c>
      <c r="E48" s="28" t="s">
        <v>1019</v>
      </c>
      <c r="AB48" s="38"/>
    </row>
    <row r="49" ht="14.4" spans="4:28">
      <c r="D49" s="28" t="s">
        <v>798</v>
      </c>
      <c r="E49" s="28" t="s">
        <v>1020</v>
      </c>
      <c r="AB49" s="38"/>
    </row>
    <row r="50" ht="14.4" spans="4:28">
      <c r="D50" s="28" t="s">
        <v>475</v>
      </c>
      <c r="E50" s="28" t="s">
        <v>1021</v>
      </c>
      <c r="AB50" s="38"/>
    </row>
    <row r="51" ht="14.4" spans="4:28">
      <c r="D51" s="28" t="s">
        <v>509</v>
      </c>
      <c r="E51" s="28" t="s">
        <v>1022</v>
      </c>
      <c r="AB51" s="38"/>
    </row>
    <row r="52" ht="14.4" spans="4:28">
      <c r="D52" s="28" t="s">
        <v>542</v>
      </c>
      <c r="E52" s="28" t="s">
        <v>1023</v>
      </c>
      <c r="AB52" s="38"/>
    </row>
    <row r="53" ht="14.4" spans="4:5">
      <c r="D53" s="27" t="s">
        <v>576</v>
      </c>
      <c r="E53" s="27" t="s">
        <v>1024</v>
      </c>
    </row>
    <row r="54" ht="14.4" spans="4:5">
      <c r="D54" s="28" t="s">
        <v>608</v>
      </c>
      <c r="E54" s="28" t="s">
        <v>1025</v>
      </c>
    </row>
    <row r="55" ht="14.4" spans="4:5">
      <c r="D55" s="28" t="s">
        <v>642</v>
      </c>
      <c r="E55" s="28" t="s">
        <v>1026</v>
      </c>
    </row>
    <row r="56" ht="14.4" spans="4:5">
      <c r="D56" s="28" t="s">
        <v>674</v>
      </c>
      <c r="E56" s="28" t="s">
        <v>1027</v>
      </c>
    </row>
    <row r="57" ht="14.4" spans="4:5">
      <c r="D57" s="28" t="s">
        <v>706</v>
      </c>
      <c r="E57" s="28" t="s">
        <v>1028</v>
      </c>
    </row>
    <row r="58" ht="14.4" spans="4:5">
      <c r="D58" s="28" t="s">
        <v>739</v>
      </c>
      <c r="E58" s="28" t="s">
        <v>1029</v>
      </c>
    </row>
    <row r="59" ht="14.4" spans="4:5">
      <c r="D59" s="28" t="s">
        <v>769</v>
      </c>
      <c r="E59" s="28" t="s">
        <v>1030</v>
      </c>
    </row>
    <row r="60" ht="14.4" spans="4:5">
      <c r="D60" s="28" t="s">
        <v>799</v>
      </c>
      <c r="E60" s="28" t="s">
        <v>1031</v>
      </c>
    </row>
    <row r="61" ht="14.4" spans="4:5">
      <c r="D61" s="28" t="s">
        <v>827</v>
      </c>
      <c r="E61" s="28" t="s">
        <v>1032</v>
      </c>
    </row>
    <row r="62" ht="14.4" spans="4:5">
      <c r="D62" s="28" t="s">
        <v>476</v>
      </c>
      <c r="E62" s="28" t="s">
        <v>1033</v>
      </c>
    </row>
    <row r="63" ht="14.4" spans="4:5">
      <c r="D63" s="28" t="s">
        <v>510</v>
      </c>
      <c r="E63" s="28" t="s">
        <v>1034</v>
      </c>
    </row>
    <row r="64" ht="14.4" spans="4:5">
      <c r="D64" s="28" t="s">
        <v>543</v>
      </c>
      <c r="E64" s="28" t="s">
        <v>1035</v>
      </c>
    </row>
    <row r="65" ht="14.4" spans="4:5">
      <c r="D65" s="28" t="s">
        <v>577</v>
      </c>
      <c r="E65" s="28" t="s">
        <v>1036</v>
      </c>
    </row>
    <row r="66" ht="14.4" spans="4:5">
      <c r="D66" s="27" t="s">
        <v>609</v>
      </c>
      <c r="E66" s="27" t="s">
        <v>1037</v>
      </c>
    </row>
    <row r="67" ht="14.4" spans="4:5">
      <c r="D67" s="28" t="s">
        <v>643</v>
      </c>
      <c r="E67" s="28" t="s">
        <v>1038</v>
      </c>
    </row>
    <row r="68" ht="14.4" spans="4:5">
      <c r="D68" s="28" t="s">
        <v>675</v>
      </c>
      <c r="E68" s="28" t="s">
        <v>1039</v>
      </c>
    </row>
    <row r="69" ht="14.4" spans="4:5">
      <c r="D69" s="28" t="s">
        <v>707</v>
      </c>
      <c r="E69" s="28" t="s">
        <v>1040</v>
      </c>
    </row>
    <row r="70" ht="14.4" spans="4:5">
      <c r="D70" s="28" t="s">
        <v>740</v>
      </c>
      <c r="E70" s="28" t="s">
        <v>1041</v>
      </c>
    </row>
    <row r="71" ht="14.4" spans="4:5">
      <c r="D71" s="28" t="s">
        <v>770</v>
      </c>
      <c r="E71" s="28" t="s">
        <v>1042</v>
      </c>
    </row>
    <row r="72" ht="14.4" spans="4:5">
      <c r="D72" s="28" t="s">
        <v>800</v>
      </c>
      <c r="E72" s="28" t="s">
        <v>1043</v>
      </c>
    </row>
    <row r="73" ht="14.4" spans="4:5">
      <c r="D73" s="28" t="s">
        <v>828</v>
      </c>
      <c r="E73" s="28" t="s">
        <v>1044</v>
      </c>
    </row>
    <row r="74" ht="14.4" spans="4:5">
      <c r="D74" s="28" t="s">
        <v>849</v>
      </c>
      <c r="E74" s="28" t="s">
        <v>1045</v>
      </c>
    </row>
    <row r="75" ht="14.4" spans="4:5">
      <c r="D75" s="28" t="s">
        <v>870</v>
      </c>
      <c r="E75" s="28" t="s">
        <v>1046</v>
      </c>
    </row>
    <row r="76" ht="14.4" spans="4:5">
      <c r="D76" s="28" t="s">
        <v>477</v>
      </c>
      <c r="E76" s="28" t="s">
        <v>1047</v>
      </c>
    </row>
    <row r="77" ht="14.4" spans="4:5">
      <c r="D77" s="28" t="s">
        <v>511</v>
      </c>
      <c r="E77" s="28" t="s">
        <v>1048</v>
      </c>
    </row>
    <row r="78" ht="14.4" spans="4:5">
      <c r="D78" s="28" t="s">
        <v>544</v>
      </c>
      <c r="E78" s="28" t="s">
        <v>1049</v>
      </c>
    </row>
    <row r="79" ht="14.4" spans="4:5">
      <c r="D79" s="28" t="s">
        <v>578</v>
      </c>
      <c r="E79" s="28" t="s">
        <v>1050</v>
      </c>
    </row>
    <row r="80" ht="14.4" spans="4:5">
      <c r="D80" s="28" t="s">
        <v>610</v>
      </c>
      <c r="E80" s="28" t="s">
        <v>1051</v>
      </c>
    </row>
    <row r="81" ht="14.4" spans="4:5">
      <c r="D81" s="27" t="s">
        <v>644</v>
      </c>
      <c r="E81" s="27" t="s">
        <v>1052</v>
      </c>
    </row>
    <row r="82" ht="14.4" spans="4:5">
      <c r="D82" s="28" t="s">
        <v>676</v>
      </c>
      <c r="E82" s="28" t="s">
        <v>1053</v>
      </c>
    </row>
    <row r="83" ht="14.4" spans="4:5">
      <c r="D83" s="28" t="s">
        <v>708</v>
      </c>
      <c r="E83" s="28" t="s">
        <v>1054</v>
      </c>
    </row>
    <row r="84" ht="14.4" spans="4:5">
      <c r="D84" s="28" t="s">
        <v>741</v>
      </c>
      <c r="E84" s="28" t="s">
        <v>1055</v>
      </c>
    </row>
    <row r="85" ht="14.4" spans="4:5">
      <c r="D85" s="28" t="s">
        <v>771</v>
      </c>
      <c r="E85" s="28" t="s">
        <v>1056</v>
      </c>
    </row>
    <row r="86" ht="14.4" spans="4:5">
      <c r="D86" s="28" t="s">
        <v>801</v>
      </c>
      <c r="E86" s="28" t="s">
        <v>1057</v>
      </c>
    </row>
    <row r="87" ht="14.4" spans="4:5">
      <c r="D87" s="28" t="s">
        <v>829</v>
      </c>
      <c r="E87" s="28" t="s">
        <v>1058</v>
      </c>
    </row>
    <row r="88" ht="14.4" spans="4:5">
      <c r="D88" s="28" t="s">
        <v>850</v>
      </c>
      <c r="E88" s="28" t="s">
        <v>1059</v>
      </c>
    </row>
    <row r="89" ht="14.4" spans="4:5">
      <c r="D89" s="28" t="s">
        <v>871</v>
      </c>
      <c r="E89" s="28" t="s">
        <v>1060</v>
      </c>
    </row>
    <row r="90" ht="14.4" spans="4:5">
      <c r="D90" s="28" t="s">
        <v>478</v>
      </c>
      <c r="E90" s="28" t="s">
        <v>1061</v>
      </c>
    </row>
    <row r="91" ht="14.4" spans="4:5">
      <c r="D91" s="28" t="s">
        <v>512</v>
      </c>
      <c r="E91" s="28" t="s">
        <v>1062</v>
      </c>
    </row>
    <row r="92" ht="14.4" spans="4:5">
      <c r="D92" s="28" t="s">
        <v>545</v>
      </c>
      <c r="E92" s="28" t="s">
        <v>1063</v>
      </c>
    </row>
    <row r="93" ht="14.4" spans="4:5">
      <c r="D93" s="28" t="s">
        <v>579</v>
      </c>
      <c r="E93" s="28" t="s">
        <v>1064</v>
      </c>
    </row>
    <row r="94" ht="14.4" spans="4:5">
      <c r="D94" s="28" t="s">
        <v>611</v>
      </c>
      <c r="E94" s="28" t="s">
        <v>1065</v>
      </c>
    </row>
    <row r="95" ht="14.4" spans="4:5">
      <c r="D95" s="28" t="s">
        <v>645</v>
      </c>
      <c r="E95" s="28" t="s">
        <v>1066</v>
      </c>
    </row>
    <row r="96" ht="14.4" spans="4:5">
      <c r="D96" s="27" t="s">
        <v>677</v>
      </c>
      <c r="E96" s="27" t="s">
        <v>1067</v>
      </c>
    </row>
    <row r="97" ht="14.4" spans="4:5">
      <c r="D97" s="28" t="s">
        <v>709</v>
      </c>
      <c r="E97" s="28" t="s">
        <v>1068</v>
      </c>
    </row>
    <row r="98" ht="14.4" spans="4:5">
      <c r="D98" s="28" t="s">
        <v>742</v>
      </c>
      <c r="E98" s="28" t="s">
        <v>1069</v>
      </c>
    </row>
    <row r="99" ht="14.4" spans="4:5">
      <c r="D99" s="28" t="s">
        <v>479</v>
      </c>
      <c r="E99" s="28" t="s">
        <v>1070</v>
      </c>
    </row>
    <row r="100" ht="14.4" spans="4:5">
      <c r="D100" s="28" t="s">
        <v>513</v>
      </c>
      <c r="E100" s="28" t="s">
        <v>1071</v>
      </c>
    </row>
    <row r="101" ht="14.4" spans="4:5">
      <c r="D101" s="28" t="s">
        <v>546</v>
      </c>
      <c r="E101" s="28" t="s">
        <v>1072</v>
      </c>
    </row>
    <row r="102" ht="14.4" spans="4:5">
      <c r="D102" s="28" t="s">
        <v>580</v>
      </c>
      <c r="E102" s="28" t="s">
        <v>1073</v>
      </c>
    </row>
    <row r="103" ht="14.4" spans="4:5">
      <c r="D103" s="28" t="s">
        <v>612</v>
      </c>
      <c r="E103" s="28" t="s">
        <v>1074</v>
      </c>
    </row>
    <row r="104" ht="14.4" spans="4:5">
      <c r="D104" s="28" t="s">
        <v>646</v>
      </c>
      <c r="E104" s="28" t="s">
        <v>1075</v>
      </c>
    </row>
    <row r="105" ht="14.4" spans="4:5">
      <c r="D105" s="28" t="s">
        <v>678</v>
      </c>
      <c r="E105" s="28" t="s">
        <v>1076</v>
      </c>
    </row>
    <row r="106" ht="14.4" spans="4:5">
      <c r="D106" s="27" t="s">
        <v>710</v>
      </c>
      <c r="E106" s="27" t="s">
        <v>1077</v>
      </c>
    </row>
    <row r="107" ht="14.4" spans="4:5">
      <c r="D107" s="28" t="s">
        <v>743</v>
      </c>
      <c r="E107" s="28" t="s">
        <v>1078</v>
      </c>
    </row>
    <row r="108" ht="14.4" spans="4:5">
      <c r="D108" s="28" t="s">
        <v>772</v>
      </c>
      <c r="E108" s="28" t="s">
        <v>1079</v>
      </c>
    </row>
    <row r="109" ht="14.4" spans="4:5">
      <c r="D109" s="28" t="s">
        <v>802</v>
      </c>
      <c r="E109" s="28" t="s">
        <v>1080</v>
      </c>
    </row>
    <row r="110" ht="14.4" spans="4:5">
      <c r="D110" s="28" t="s">
        <v>830</v>
      </c>
      <c r="E110" s="28" t="s">
        <v>1081</v>
      </c>
    </row>
    <row r="111" ht="14.4" spans="4:5">
      <c r="D111" s="28" t="s">
        <v>851</v>
      </c>
      <c r="E111" s="28" t="s">
        <v>1082</v>
      </c>
    </row>
    <row r="112" spans="4:5">
      <c r="D112" s="31" t="s">
        <v>803</v>
      </c>
      <c r="E112" s="31" t="s">
        <v>1083</v>
      </c>
    </row>
    <row r="113" spans="4:5">
      <c r="D113" s="31" t="s">
        <v>947</v>
      </c>
      <c r="E113" s="31" t="s">
        <v>1084</v>
      </c>
    </row>
    <row r="114" spans="4:5">
      <c r="D114" s="31" t="s">
        <v>936</v>
      </c>
      <c r="E114" s="31" t="s">
        <v>1085</v>
      </c>
    </row>
    <row r="115" spans="4:5">
      <c r="D115" s="31" t="s">
        <v>711</v>
      </c>
      <c r="E115" s="31" t="s">
        <v>1086</v>
      </c>
    </row>
    <row r="116" spans="4:5">
      <c r="D116" s="31" t="s">
        <v>480</v>
      </c>
      <c r="E116" s="31" t="s">
        <v>1087</v>
      </c>
    </row>
    <row r="117" spans="4:5">
      <c r="D117" s="31" t="s">
        <v>831</v>
      </c>
      <c r="E117" s="31" t="s">
        <v>1088</v>
      </c>
    </row>
    <row r="118" spans="4:5">
      <c r="D118" s="31" t="s">
        <v>872</v>
      </c>
      <c r="E118" s="31" t="s">
        <v>1089</v>
      </c>
    </row>
    <row r="119" spans="4:5">
      <c r="D119" s="31" t="s">
        <v>613</v>
      </c>
      <c r="E119" s="31" t="s">
        <v>1090</v>
      </c>
    </row>
    <row r="120" spans="4:5">
      <c r="D120" s="32" t="s">
        <v>514</v>
      </c>
      <c r="E120" s="30" t="s">
        <v>1091</v>
      </c>
    </row>
    <row r="121" spans="4:5">
      <c r="D121" s="31" t="s">
        <v>773</v>
      </c>
      <c r="E121" s="31" t="s">
        <v>1092</v>
      </c>
    </row>
    <row r="122" spans="4:5">
      <c r="D122" s="31" t="s">
        <v>921</v>
      </c>
      <c r="E122" s="31" t="s">
        <v>1093</v>
      </c>
    </row>
    <row r="123" spans="4:5">
      <c r="D123" s="31" t="s">
        <v>852</v>
      </c>
      <c r="E123" s="31" t="s">
        <v>1094</v>
      </c>
    </row>
    <row r="124" spans="4:5">
      <c r="D124" s="31" t="s">
        <v>647</v>
      </c>
      <c r="E124" s="31" t="s">
        <v>1095</v>
      </c>
    </row>
    <row r="125" spans="4:5">
      <c r="D125" s="31" t="s">
        <v>905</v>
      </c>
      <c r="E125" s="31" t="s">
        <v>1096</v>
      </c>
    </row>
    <row r="126" spans="4:5">
      <c r="D126" s="31" t="s">
        <v>889</v>
      </c>
      <c r="E126" s="31" t="s">
        <v>1097</v>
      </c>
    </row>
    <row r="127" spans="4:5">
      <c r="D127" s="31" t="s">
        <v>547</v>
      </c>
      <c r="E127" s="31" t="s">
        <v>1098</v>
      </c>
    </row>
    <row r="128" spans="4:5">
      <c r="D128" s="31" t="s">
        <v>744</v>
      </c>
      <c r="E128" s="31" t="s">
        <v>1099</v>
      </c>
    </row>
    <row r="129" spans="4:5">
      <c r="D129" s="32" t="s">
        <v>679</v>
      </c>
      <c r="E129" s="30" t="s">
        <v>1100</v>
      </c>
    </row>
    <row r="130" spans="4:5">
      <c r="D130" s="31" t="s">
        <v>581</v>
      </c>
      <c r="E130" s="31" t="s">
        <v>1101</v>
      </c>
    </row>
    <row r="131" ht="14.4" spans="4:5">
      <c r="D131" s="28" t="s">
        <v>481</v>
      </c>
      <c r="E131" s="28" t="s">
        <v>1102</v>
      </c>
    </row>
    <row r="132" ht="14.4" spans="4:5">
      <c r="D132" s="28" t="s">
        <v>515</v>
      </c>
      <c r="E132" s="28" t="s">
        <v>1103</v>
      </c>
    </row>
    <row r="133" ht="14.4" spans="4:5">
      <c r="D133" s="28" t="s">
        <v>548</v>
      </c>
      <c r="E133" s="28" t="s">
        <v>1104</v>
      </c>
    </row>
    <row r="134" ht="14.4" spans="4:5">
      <c r="D134" s="28" t="s">
        <v>582</v>
      </c>
      <c r="E134" s="28" t="s">
        <v>1105</v>
      </c>
    </row>
    <row r="135" ht="14.4" spans="4:5">
      <c r="D135" s="28" t="s">
        <v>614</v>
      </c>
      <c r="E135" s="28" t="s">
        <v>1106</v>
      </c>
    </row>
    <row r="136" ht="14.4" spans="4:5">
      <c r="D136" s="28" t="s">
        <v>648</v>
      </c>
      <c r="E136" s="28" t="s">
        <v>1107</v>
      </c>
    </row>
    <row r="137" ht="14.4" spans="4:5">
      <c r="D137" s="28" t="s">
        <v>680</v>
      </c>
      <c r="E137" s="28" t="s">
        <v>1108</v>
      </c>
    </row>
    <row r="138" ht="14.4" spans="4:5">
      <c r="D138" s="27" t="s">
        <v>712</v>
      </c>
      <c r="E138" s="27" t="s">
        <v>1109</v>
      </c>
    </row>
    <row r="139" ht="14.4" spans="4:5">
      <c r="D139" s="28" t="s">
        <v>745</v>
      </c>
      <c r="E139" s="28" t="s">
        <v>1110</v>
      </c>
    </row>
    <row r="140" ht="14.4" spans="4:5">
      <c r="D140" s="27" t="s">
        <v>774</v>
      </c>
      <c r="E140" s="27" t="s">
        <v>1111</v>
      </c>
    </row>
    <row r="141" ht="14.4" spans="4:5">
      <c r="D141" s="28" t="s">
        <v>804</v>
      </c>
      <c r="E141" s="28" t="s">
        <v>1112</v>
      </c>
    </row>
    <row r="142" ht="14.4" spans="4:5">
      <c r="D142" s="28" t="s">
        <v>832</v>
      </c>
      <c r="E142" s="28" t="s">
        <v>1113</v>
      </c>
    </row>
    <row r="143" ht="14.4" spans="4:5">
      <c r="D143" s="28" t="s">
        <v>853</v>
      </c>
      <c r="E143" s="28" t="s">
        <v>1114</v>
      </c>
    </row>
    <row r="144" ht="14.4" spans="4:5">
      <c r="D144" s="28" t="s">
        <v>482</v>
      </c>
      <c r="E144" s="28" t="s">
        <v>1115</v>
      </c>
    </row>
    <row r="145" ht="14.4" spans="4:5">
      <c r="D145" s="28" t="s">
        <v>516</v>
      </c>
      <c r="E145" s="28" t="s">
        <v>1116</v>
      </c>
    </row>
    <row r="146" ht="14.4" spans="4:5">
      <c r="D146" s="28" t="s">
        <v>549</v>
      </c>
      <c r="E146" s="28" t="s">
        <v>1117</v>
      </c>
    </row>
    <row r="147" ht="14.4" spans="4:5">
      <c r="D147" s="28" t="s">
        <v>583</v>
      </c>
      <c r="E147" s="28" t="s">
        <v>1118</v>
      </c>
    </row>
    <row r="148" ht="14.4" spans="4:5">
      <c r="D148" s="28" t="s">
        <v>615</v>
      </c>
      <c r="E148" s="28" t="s">
        <v>1119</v>
      </c>
    </row>
    <row r="149" ht="14.4" spans="4:5">
      <c r="D149" s="28" t="s">
        <v>649</v>
      </c>
      <c r="E149" s="28" t="s">
        <v>1120</v>
      </c>
    </row>
    <row r="150" ht="14.4" spans="4:5">
      <c r="D150" s="28" t="s">
        <v>681</v>
      </c>
      <c r="E150" s="28" t="s">
        <v>1121</v>
      </c>
    </row>
    <row r="151" ht="14.4" spans="4:5">
      <c r="D151" s="28" t="s">
        <v>713</v>
      </c>
      <c r="E151" s="28" t="s">
        <v>1122</v>
      </c>
    </row>
    <row r="152" ht="14.4" spans="4:5">
      <c r="D152" s="28" t="s">
        <v>746</v>
      </c>
      <c r="E152" s="28" t="s">
        <v>1123</v>
      </c>
    </row>
    <row r="153" ht="14.4" spans="4:5">
      <c r="D153" s="28" t="s">
        <v>775</v>
      </c>
      <c r="E153" s="28" t="s">
        <v>1124</v>
      </c>
    </row>
    <row r="154" ht="14.4" spans="4:5">
      <c r="D154" s="27" t="s">
        <v>805</v>
      </c>
      <c r="E154" s="27" t="s">
        <v>1125</v>
      </c>
    </row>
    <row r="155" ht="14.4" spans="4:5">
      <c r="D155" s="28" t="s">
        <v>483</v>
      </c>
      <c r="E155" s="28" t="s">
        <v>1126</v>
      </c>
    </row>
    <row r="156" ht="14.4" spans="4:5">
      <c r="D156" s="28" t="s">
        <v>517</v>
      </c>
      <c r="E156" s="28" t="s">
        <v>1127</v>
      </c>
    </row>
    <row r="157" ht="14.4" spans="4:5">
      <c r="D157" s="28" t="s">
        <v>550</v>
      </c>
      <c r="E157" s="28" t="s">
        <v>1128</v>
      </c>
    </row>
    <row r="158" ht="14.4" spans="4:5">
      <c r="D158" s="28" t="s">
        <v>584</v>
      </c>
      <c r="E158" s="28" t="s">
        <v>1129</v>
      </c>
    </row>
    <row r="159" ht="14.4" spans="4:5">
      <c r="D159" s="28" t="s">
        <v>616</v>
      </c>
      <c r="E159" s="28" t="s">
        <v>1130</v>
      </c>
    </row>
    <row r="160" ht="14.4" spans="4:5">
      <c r="D160" s="28" t="s">
        <v>650</v>
      </c>
      <c r="E160" s="28" t="s">
        <v>1131</v>
      </c>
    </row>
    <row r="161" ht="14.4" spans="4:5">
      <c r="D161" s="28" t="s">
        <v>682</v>
      </c>
      <c r="E161" s="28" t="s">
        <v>1132</v>
      </c>
    </row>
    <row r="162" ht="14.4" spans="4:5">
      <c r="D162" s="28" t="s">
        <v>714</v>
      </c>
      <c r="E162" s="28" t="s">
        <v>1133</v>
      </c>
    </row>
    <row r="163" ht="14.4" spans="4:5">
      <c r="D163" s="28" t="s">
        <v>747</v>
      </c>
      <c r="E163" s="28" t="s">
        <v>1134</v>
      </c>
    </row>
    <row r="164" ht="14.4" spans="4:5">
      <c r="D164" s="28" t="s">
        <v>776</v>
      </c>
      <c r="E164" s="28" t="s">
        <v>1135</v>
      </c>
    </row>
    <row r="165" ht="14.4" spans="4:5">
      <c r="D165" s="28" t="s">
        <v>806</v>
      </c>
      <c r="E165" s="28" t="s">
        <v>1136</v>
      </c>
    </row>
    <row r="166" ht="14.4" spans="4:5">
      <c r="D166" s="27" t="s">
        <v>833</v>
      </c>
      <c r="E166" s="27" t="s">
        <v>1137</v>
      </c>
    </row>
    <row r="167" ht="14.4" spans="4:5">
      <c r="D167" s="28" t="s">
        <v>854</v>
      </c>
      <c r="E167" s="28" t="s">
        <v>1138</v>
      </c>
    </row>
    <row r="168" ht="14.4" spans="4:5">
      <c r="D168" s="28" t="s">
        <v>873</v>
      </c>
      <c r="E168" s="28" t="s">
        <v>1139</v>
      </c>
    </row>
    <row r="169" ht="14.4" spans="4:5">
      <c r="D169" s="28" t="s">
        <v>890</v>
      </c>
      <c r="E169" s="28" t="s">
        <v>1140</v>
      </c>
    </row>
    <row r="170" ht="14.4" spans="4:5">
      <c r="D170" s="28" t="s">
        <v>906</v>
      </c>
      <c r="E170" s="28" t="s">
        <v>1141</v>
      </c>
    </row>
    <row r="171" ht="14.4" spans="4:5">
      <c r="D171" s="28" t="s">
        <v>922</v>
      </c>
      <c r="E171" s="28" t="s">
        <v>1142</v>
      </c>
    </row>
    <row r="172" ht="14.4" spans="4:5">
      <c r="D172" s="28" t="s">
        <v>484</v>
      </c>
      <c r="E172" s="28" t="s">
        <v>1143</v>
      </c>
    </row>
    <row r="173" ht="14.4" spans="4:5">
      <c r="D173" s="28" t="s">
        <v>518</v>
      </c>
      <c r="E173" s="28" t="s">
        <v>1144</v>
      </c>
    </row>
    <row r="174" ht="14.4" spans="4:5">
      <c r="D174" s="28" t="s">
        <v>551</v>
      </c>
      <c r="E174" s="28" t="s">
        <v>1145</v>
      </c>
    </row>
    <row r="175" ht="14.4" spans="4:5">
      <c r="D175" s="28" t="s">
        <v>585</v>
      </c>
      <c r="E175" s="28" t="s">
        <v>1146</v>
      </c>
    </row>
    <row r="176" ht="14.4" spans="4:5">
      <c r="D176" s="28" t="s">
        <v>617</v>
      </c>
      <c r="E176" s="28" t="s">
        <v>1147</v>
      </c>
    </row>
    <row r="177" ht="14.4" spans="4:5">
      <c r="D177" s="28" t="s">
        <v>651</v>
      </c>
      <c r="E177" s="28" t="s">
        <v>1148</v>
      </c>
    </row>
    <row r="178" ht="14.4" spans="4:5">
      <c r="D178" s="28" t="s">
        <v>683</v>
      </c>
      <c r="E178" s="28" t="s">
        <v>1149</v>
      </c>
    </row>
    <row r="179" ht="14.4" spans="4:5">
      <c r="D179" s="28" t="s">
        <v>715</v>
      </c>
      <c r="E179" s="28" t="s">
        <v>1150</v>
      </c>
    </row>
    <row r="180" ht="14.4" spans="4:5">
      <c r="D180" s="28" t="s">
        <v>748</v>
      </c>
      <c r="E180" s="28" t="s">
        <v>1151</v>
      </c>
    </row>
    <row r="181" ht="14.4" spans="4:5">
      <c r="D181" s="28" t="s">
        <v>485</v>
      </c>
      <c r="E181" s="28" t="s">
        <v>1152</v>
      </c>
    </row>
    <row r="182" ht="14.4" spans="4:5">
      <c r="D182" s="28" t="s">
        <v>519</v>
      </c>
      <c r="E182" s="28" t="s">
        <v>1153</v>
      </c>
    </row>
    <row r="183" ht="14.4" spans="4:5">
      <c r="D183" s="28" t="s">
        <v>552</v>
      </c>
      <c r="E183" s="28" t="s">
        <v>1154</v>
      </c>
    </row>
    <row r="184" ht="14.4" spans="4:5">
      <c r="D184" s="27" t="s">
        <v>586</v>
      </c>
      <c r="E184" s="27" t="s">
        <v>1155</v>
      </c>
    </row>
    <row r="185" ht="14.4" spans="4:5">
      <c r="D185" s="28" t="s">
        <v>618</v>
      </c>
      <c r="E185" s="28" t="s">
        <v>1156</v>
      </c>
    </row>
    <row r="186" ht="14.4" spans="4:5">
      <c r="D186" s="28" t="s">
        <v>652</v>
      </c>
      <c r="E186" s="28" t="s">
        <v>1157</v>
      </c>
    </row>
    <row r="187" ht="14.4" spans="4:5">
      <c r="D187" s="28" t="s">
        <v>684</v>
      </c>
      <c r="E187" s="28" t="s">
        <v>1158</v>
      </c>
    </row>
    <row r="188" ht="14.4" spans="4:5">
      <c r="D188" s="28" t="s">
        <v>716</v>
      </c>
      <c r="E188" s="28" t="s">
        <v>1159</v>
      </c>
    </row>
    <row r="189" ht="14.4" spans="4:5">
      <c r="D189" s="28" t="s">
        <v>749</v>
      </c>
      <c r="E189" s="28" t="s">
        <v>1160</v>
      </c>
    </row>
    <row r="190" ht="14.4" spans="4:5">
      <c r="D190" s="28" t="s">
        <v>777</v>
      </c>
      <c r="E190" s="28" t="s">
        <v>1161</v>
      </c>
    </row>
    <row r="191" ht="14.4" spans="4:5">
      <c r="D191" s="28" t="s">
        <v>807</v>
      </c>
      <c r="E191" s="28" t="s">
        <v>1162</v>
      </c>
    </row>
    <row r="192" ht="14.4" spans="4:5">
      <c r="D192" s="28" t="s">
        <v>486</v>
      </c>
      <c r="E192" s="28" t="s">
        <v>1163</v>
      </c>
    </row>
    <row r="193" ht="14.4" spans="4:5">
      <c r="D193" s="28" t="s">
        <v>520</v>
      </c>
      <c r="E193" s="28" t="s">
        <v>1164</v>
      </c>
    </row>
    <row r="194" ht="14.4" spans="4:5">
      <c r="D194" s="27" t="s">
        <v>553</v>
      </c>
      <c r="E194" s="27" t="s">
        <v>1165</v>
      </c>
    </row>
    <row r="195" ht="14.4" spans="4:5">
      <c r="D195" s="28" t="s">
        <v>587</v>
      </c>
      <c r="E195" s="28" t="s">
        <v>1166</v>
      </c>
    </row>
    <row r="196" ht="14.4" spans="4:5">
      <c r="D196" s="28" t="s">
        <v>619</v>
      </c>
      <c r="E196" s="28" t="s">
        <v>1167</v>
      </c>
    </row>
    <row r="197" ht="14.4" spans="4:5">
      <c r="D197" s="28" t="s">
        <v>653</v>
      </c>
      <c r="E197" s="28" t="s">
        <v>1168</v>
      </c>
    </row>
    <row r="198" ht="14.4" spans="4:5">
      <c r="D198" s="28" t="s">
        <v>685</v>
      </c>
      <c r="E198" s="28" t="s">
        <v>1169</v>
      </c>
    </row>
    <row r="199" ht="14.4" spans="4:5">
      <c r="D199" s="28" t="s">
        <v>717</v>
      </c>
      <c r="E199" s="28" t="s">
        <v>1170</v>
      </c>
    </row>
    <row r="200" ht="14.4" spans="4:5">
      <c r="D200" s="28" t="s">
        <v>750</v>
      </c>
      <c r="E200" s="28" t="s">
        <v>1171</v>
      </c>
    </row>
    <row r="201" ht="14.4" spans="4:5">
      <c r="D201" s="28" t="s">
        <v>778</v>
      </c>
      <c r="E201" s="28" t="s">
        <v>1172</v>
      </c>
    </row>
    <row r="202" ht="14.4" spans="4:5">
      <c r="D202" s="28" t="s">
        <v>808</v>
      </c>
      <c r="E202" s="28" t="s">
        <v>1173</v>
      </c>
    </row>
    <row r="203" ht="14.4" spans="4:5">
      <c r="D203" s="28" t="s">
        <v>834</v>
      </c>
      <c r="E203" s="28" t="s">
        <v>1174</v>
      </c>
    </row>
    <row r="204" ht="14.4" spans="4:5">
      <c r="D204" s="28" t="s">
        <v>855</v>
      </c>
      <c r="E204" s="28" t="s">
        <v>1175</v>
      </c>
    </row>
    <row r="205" ht="14.4" spans="4:5">
      <c r="D205" s="28" t="s">
        <v>874</v>
      </c>
      <c r="E205" s="28" t="s">
        <v>1176</v>
      </c>
    </row>
    <row r="206" ht="14.4" spans="4:5">
      <c r="D206" s="27" t="s">
        <v>891</v>
      </c>
      <c r="E206" s="27" t="s">
        <v>1177</v>
      </c>
    </row>
    <row r="207" ht="14.4" spans="4:5">
      <c r="D207" s="28" t="s">
        <v>907</v>
      </c>
      <c r="E207" s="28" t="s">
        <v>1178</v>
      </c>
    </row>
    <row r="208" ht="14.4" spans="4:5">
      <c r="D208" s="28" t="s">
        <v>923</v>
      </c>
      <c r="E208" s="28" t="s">
        <v>1179</v>
      </c>
    </row>
    <row r="209" ht="14.4" spans="4:5">
      <c r="D209" s="28" t="s">
        <v>487</v>
      </c>
      <c r="E209" s="28" t="s">
        <v>1180</v>
      </c>
    </row>
    <row r="210" ht="14.4" spans="4:5">
      <c r="D210" s="28" t="s">
        <v>521</v>
      </c>
      <c r="E210" s="28" t="s">
        <v>1181</v>
      </c>
    </row>
    <row r="211" ht="14.4" spans="4:5">
      <c r="D211" s="28" t="s">
        <v>554</v>
      </c>
      <c r="E211" s="28" t="s">
        <v>1182</v>
      </c>
    </row>
    <row r="212" ht="14.4" spans="4:5">
      <c r="D212" s="28" t="s">
        <v>588</v>
      </c>
      <c r="E212" s="28" t="s">
        <v>1183</v>
      </c>
    </row>
    <row r="213" ht="14.4" spans="4:5">
      <c r="D213" s="28" t="s">
        <v>620</v>
      </c>
      <c r="E213" s="28" t="s">
        <v>1184</v>
      </c>
    </row>
    <row r="214" ht="14.4" spans="4:5">
      <c r="D214" s="28" t="s">
        <v>654</v>
      </c>
      <c r="E214" s="28" t="s">
        <v>1185</v>
      </c>
    </row>
    <row r="215" ht="14.4" spans="4:5">
      <c r="D215" s="28" t="s">
        <v>686</v>
      </c>
      <c r="E215" s="28" t="s">
        <v>1186</v>
      </c>
    </row>
    <row r="216" ht="14.4" spans="4:5">
      <c r="D216" s="28" t="s">
        <v>718</v>
      </c>
      <c r="E216" s="28" t="s">
        <v>1187</v>
      </c>
    </row>
    <row r="217" ht="14.4" spans="4:5">
      <c r="D217" s="28" t="s">
        <v>751</v>
      </c>
      <c r="E217" s="28" t="s">
        <v>1188</v>
      </c>
    </row>
    <row r="218" ht="14.4" spans="4:5">
      <c r="D218" s="28" t="s">
        <v>779</v>
      </c>
      <c r="E218" s="28" t="s">
        <v>1189</v>
      </c>
    </row>
    <row r="219" ht="14.4" spans="4:5">
      <c r="D219" s="28" t="s">
        <v>809</v>
      </c>
      <c r="E219" s="28" t="s">
        <v>1190</v>
      </c>
    </row>
    <row r="220" ht="14.4" spans="4:5">
      <c r="D220" s="28" t="s">
        <v>835</v>
      </c>
      <c r="E220" s="28" t="s">
        <v>1191</v>
      </c>
    </row>
    <row r="221" ht="14.4" spans="4:5">
      <c r="D221" s="28" t="s">
        <v>856</v>
      </c>
      <c r="E221" s="28" t="s">
        <v>1192</v>
      </c>
    </row>
    <row r="222" ht="14.4" spans="4:5">
      <c r="D222" s="28" t="s">
        <v>875</v>
      </c>
      <c r="E222" s="28" t="s">
        <v>1193</v>
      </c>
    </row>
    <row r="223" ht="14.4" spans="4:5">
      <c r="D223" s="28" t="s">
        <v>892</v>
      </c>
      <c r="E223" s="28" t="s">
        <v>1194</v>
      </c>
    </row>
    <row r="224" ht="14.4" spans="4:5">
      <c r="D224" s="27" t="s">
        <v>908</v>
      </c>
      <c r="E224" s="27" t="s">
        <v>1195</v>
      </c>
    </row>
    <row r="225" ht="14.4" spans="4:5">
      <c r="D225" s="28" t="s">
        <v>924</v>
      </c>
      <c r="E225" s="28" t="s">
        <v>1196</v>
      </c>
    </row>
    <row r="226" ht="14.4" spans="4:5">
      <c r="D226" s="36" t="s">
        <v>937</v>
      </c>
      <c r="E226" s="28">
        <v>410881</v>
      </c>
    </row>
    <row r="227" ht="14.4" spans="4:5">
      <c r="D227" s="28" t="s">
        <v>488</v>
      </c>
      <c r="E227" s="28" t="s">
        <v>1197</v>
      </c>
    </row>
    <row r="228" ht="14.4" spans="4:5">
      <c r="D228" s="28" t="s">
        <v>522</v>
      </c>
      <c r="E228" s="28" t="s">
        <v>1198</v>
      </c>
    </row>
    <row r="229" ht="14.4" spans="4:5">
      <c r="D229" s="28" t="s">
        <v>555</v>
      </c>
      <c r="E229" s="28" t="s">
        <v>1199</v>
      </c>
    </row>
    <row r="230" ht="14.4" spans="4:5">
      <c r="D230" s="28" t="s">
        <v>589</v>
      </c>
      <c r="E230" s="28" t="s">
        <v>1200</v>
      </c>
    </row>
    <row r="231" ht="14.4" spans="4:5">
      <c r="D231" s="28" t="s">
        <v>621</v>
      </c>
      <c r="E231" s="28" t="s">
        <v>1201</v>
      </c>
    </row>
    <row r="232" ht="14.4" spans="4:5">
      <c r="D232" s="28" t="s">
        <v>655</v>
      </c>
      <c r="E232" s="28" t="s">
        <v>1202</v>
      </c>
    </row>
    <row r="233" ht="14.4" spans="4:5">
      <c r="D233" s="28" t="s">
        <v>687</v>
      </c>
      <c r="E233" s="28" t="s">
        <v>1203</v>
      </c>
    </row>
    <row r="234" ht="14.4" spans="4:5">
      <c r="D234" s="28" t="s">
        <v>719</v>
      </c>
      <c r="E234" s="28" t="s">
        <v>1204</v>
      </c>
    </row>
    <row r="235" ht="14.4" spans="4:5">
      <c r="D235" s="28" t="s">
        <v>752</v>
      </c>
      <c r="E235" s="28" t="s">
        <v>1205</v>
      </c>
    </row>
    <row r="236" ht="14.4" spans="4:5">
      <c r="D236" s="28" t="s">
        <v>780</v>
      </c>
      <c r="E236" s="28" t="s">
        <v>1206</v>
      </c>
    </row>
    <row r="237" ht="14.4" spans="4:5">
      <c r="D237" s="28" t="s">
        <v>810</v>
      </c>
      <c r="E237" s="28" t="s">
        <v>1207</v>
      </c>
    </row>
    <row r="238" ht="14.4" spans="4:5">
      <c r="D238" s="28" t="s">
        <v>836</v>
      </c>
      <c r="E238" s="28" t="s">
        <v>1208</v>
      </c>
    </row>
    <row r="239" ht="14.4" spans="4:5">
      <c r="D239" s="28" t="s">
        <v>857</v>
      </c>
      <c r="E239" s="28" t="s">
        <v>1209</v>
      </c>
    </row>
    <row r="240" ht="14.4" spans="4:5">
      <c r="D240" s="36" t="s">
        <v>876</v>
      </c>
      <c r="E240" s="36">
        <v>429004</v>
      </c>
    </row>
    <row r="241" ht="14.4" spans="4:5">
      <c r="D241" s="36" t="s">
        <v>893</v>
      </c>
      <c r="E241" s="36">
        <v>429005</v>
      </c>
    </row>
    <row r="242" ht="14.4" spans="4:5">
      <c r="D242" s="36" t="s">
        <v>909</v>
      </c>
      <c r="E242" s="36">
        <v>429006</v>
      </c>
    </row>
    <row r="243" ht="14.4" spans="4:5">
      <c r="D243" s="36" t="s">
        <v>925</v>
      </c>
      <c r="E243" s="36">
        <v>429021</v>
      </c>
    </row>
    <row r="244" ht="14.4" spans="4:5">
      <c r="D244" s="28" t="s">
        <v>489</v>
      </c>
      <c r="E244" s="28" t="s">
        <v>1210</v>
      </c>
    </row>
    <row r="245" ht="14.4" spans="4:5">
      <c r="D245" s="28" t="s">
        <v>523</v>
      </c>
      <c r="E245" s="28" t="s">
        <v>1211</v>
      </c>
    </row>
    <row r="246" ht="14.4" spans="4:5">
      <c r="D246" s="28" t="s">
        <v>556</v>
      </c>
      <c r="E246" s="28" t="s">
        <v>1212</v>
      </c>
    </row>
    <row r="247" ht="14.4" spans="4:5">
      <c r="D247" s="40" t="s">
        <v>590</v>
      </c>
      <c r="E247" s="40" t="s">
        <v>1213</v>
      </c>
    </row>
    <row r="248" ht="14.4" spans="4:5">
      <c r="D248" s="27" t="s">
        <v>622</v>
      </c>
      <c r="E248" s="27" t="s">
        <v>1214</v>
      </c>
    </row>
    <row r="249" ht="14.4" spans="4:5">
      <c r="D249" s="28" t="s">
        <v>656</v>
      </c>
      <c r="E249" s="28" t="s">
        <v>1215</v>
      </c>
    </row>
    <row r="250" ht="14.4" spans="4:5">
      <c r="D250" s="28" t="s">
        <v>688</v>
      </c>
      <c r="E250" s="28" t="s">
        <v>1216</v>
      </c>
    </row>
    <row r="251" ht="14.4" spans="4:5">
      <c r="D251" s="28" t="s">
        <v>720</v>
      </c>
      <c r="E251" s="28" t="s">
        <v>1217</v>
      </c>
    </row>
    <row r="252" ht="14.4" spans="4:5">
      <c r="D252" s="28" t="s">
        <v>753</v>
      </c>
      <c r="E252" s="28" t="s">
        <v>1218</v>
      </c>
    </row>
    <row r="253" ht="14.4" spans="4:5">
      <c r="D253" s="28" t="s">
        <v>781</v>
      </c>
      <c r="E253" s="28" t="s">
        <v>1219</v>
      </c>
    </row>
    <row r="254" ht="14.4" spans="4:5">
      <c r="D254" s="28" t="s">
        <v>811</v>
      </c>
      <c r="E254" s="28" t="s">
        <v>1220</v>
      </c>
    </row>
    <row r="255" ht="14.4" spans="4:5">
      <c r="D255" s="28" t="s">
        <v>837</v>
      </c>
      <c r="E255" s="28" t="s">
        <v>1221</v>
      </c>
    </row>
    <row r="256" ht="14.4" spans="4:5">
      <c r="D256" s="28" t="s">
        <v>858</v>
      </c>
      <c r="E256" s="28" t="s">
        <v>1222</v>
      </c>
    </row>
    <row r="257" ht="14.4" spans="4:5">
      <c r="D257" s="28" t="s">
        <v>877</v>
      </c>
      <c r="E257" s="28" t="s">
        <v>1223</v>
      </c>
    </row>
    <row r="258" ht="14.4" spans="4:5">
      <c r="D258" s="28" t="s">
        <v>490</v>
      </c>
      <c r="E258" s="28" t="s">
        <v>1224</v>
      </c>
    </row>
    <row r="259" ht="14.4" spans="4:5">
      <c r="D259" s="28" t="s">
        <v>524</v>
      </c>
      <c r="E259" s="28" t="s">
        <v>1225</v>
      </c>
    </row>
    <row r="260" ht="14.4" spans="4:5">
      <c r="D260" s="28" t="s">
        <v>557</v>
      </c>
      <c r="E260" s="28" t="s">
        <v>1226</v>
      </c>
    </row>
    <row r="261" ht="14.4" spans="4:5">
      <c r="D261" s="28" t="s">
        <v>591</v>
      </c>
      <c r="E261" s="28" t="s">
        <v>1227</v>
      </c>
    </row>
    <row r="262" ht="14.4" spans="4:5">
      <c r="D262" s="28" t="s">
        <v>623</v>
      </c>
      <c r="E262" s="28" t="s">
        <v>1228</v>
      </c>
    </row>
    <row r="263" ht="14.4" spans="4:5">
      <c r="D263" s="28" t="s">
        <v>657</v>
      </c>
      <c r="E263" s="28" t="s">
        <v>1229</v>
      </c>
    </row>
    <row r="264" ht="14.4" spans="4:5">
      <c r="D264" s="28" t="s">
        <v>689</v>
      </c>
      <c r="E264" s="28" t="s">
        <v>1230</v>
      </c>
    </row>
    <row r="265" ht="14.4" spans="4:5">
      <c r="D265" s="28" t="s">
        <v>721</v>
      </c>
      <c r="E265" s="28" t="s">
        <v>1231</v>
      </c>
    </row>
    <row r="266" ht="14.4" spans="4:5">
      <c r="D266" s="27" t="s">
        <v>754</v>
      </c>
      <c r="E266" s="27" t="s">
        <v>1232</v>
      </c>
    </row>
    <row r="267" ht="14.4" spans="4:5">
      <c r="D267" s="28" t="s">
        <v>782</v>
      </c>
      <c r="E267" s="28" t="s">
        <v>1233</v>
      </c>
    </row>
    <row r="268" ht="14.4" spans="4:5">
      <c r="D268" s="28" t="s">
        <v>812</v>
      </c>
      <c r="E268" s="28" t="s">
        <v>1234</v>
      </c>
    </row>
    <row r="269" ht="14.4" spans="4:5">
      <c r="D269" s="28" t="s">
        <v>838</v>
      </c>
      <c r="E269" s="28" t="s">
        <v>1235</v>
      </c>
    </row>
    <row r="270" ht="14.4" spans="4:5">
      <c r="D270" s="28" t="s">
        <v>859</v>
      </c>
      <c r="E270" s="28" t="s">
        <v>1236</v>
      </c>
    </row>
    <row r="271" ht="14.4" spans="4:5">
      <c r="D271" s="28" t="s">
        <v>878</v>
      </c>
      <c r="E271" s="28" t="s">
        <v>1237</v>
      </c>
    </row>
    <row r="272" ht="14.4" spans="4:5">
      <c r="D272" s="28" t="s">
        <v>894</v>
      </c>
      <c r="E272" s="28" t="s">
        <v>1238</v>
      </c>
    </row>
    <row r="273" ht="14.4" spans="4:5">
      <c r="D273" s="28" t="s">
        <v>910</v>
      </c>
      <c r="E273" s="28" t="s">
        <v>1239</v>
      </c>
    </row>
    <row r="274" ht="14.4" spans="4:5">
      <c r="D274" s="28" t="s">
        <v>926</v>
      </c>
      <c r="E274" s="28" t="s">
        <v>1240</v>
      </c>
    </row>
    <row r="275" ht="14.4" spans="4:5">
      <c r="D275" s="28" t="s">
        <v>938</v>
      </c>
      <c r="E275" s="28" t="s">
        <v>1241</v>
      </c>
    </row>
    <row r="276" ht="14.4" spans="4:5">
      <c r="D276" s="28" t="s">
        <v>948</v>
      </c>
      <c r="E276" s="28" t="s">
        <v>1242</v>
      </c>
    </row>
    <row r="277" ht="14.4" spans="4:5">
      <c r="D277" s="28" t="s">
        <v>956</v>
      </c>
      <c r="E277" s="28" t="s">
        <v>1243</v>
      </c>
    </row>
    <row r="278" ht="14.4" spans="4:5">
      <c r="D278" s="28" t="s">
        <v>963</v>
      </c>
      <c r="E278" s="28" t="s">
        <v>1244</v>
      </c>
    </row>
    <row r="279" ht="14.4" spans="4:5">
      <c r="D279" s="28" t="s">
        <v>491</v>
      </c>
      <c r="E279" s="28" t="s">
        <v>1245</v>
      </c>
    </row>
    <row r="280" ht="14.4" spans="4:5">
      <c r="D280" s="28" t="s">
        <v>525</v>
      </c>
      <c r="E280" s="28" t="s">
        <v>1246</v>
      </c>
    </row>
    <row r="281" ht="14.4" spans="4:5">
      <c r="D281" s="27" t="s">
        <v>558</v>
      </c>
      <c r="E281" s="27" t="s">
        <v>1247</v>
      </c>
    </row>
    <row r="282" ht="14.4" spans="4:5">
      <c r="D282" s="28" t="s">
        <v>592</v>
      </c>
      <c r="E282" s="28" t="s">
        <v>1248</v>
      </c>
    </row>
    <row r="283" ht="14.4" spans="4:5">
      <c r="D283" s="28" t="s">
        <v>624</v>
      </c>
      <c r="E283" s="28" t="s">
        <v>1249</v>
      </c>
    </row>
    <row r="284" ht="14.4" spans="4:5">
      <c r="D284" s="28" t="s">
        <v>658</v>
      </c>
      <c r="E284" s="28" t="s">
        <v>1250</v>
      </c>
    </row>
    <row r="285" ht="14.4" spans="4:5">
      <c r="D285" s="28" t="s">
        <v>690</v>
      </c>
      <c r="E285" s="28" t="s">
        <v>1251</v>
      </c>
    </row>
    <row r="286" ht="14.4" spans="4:5">
      <c r="D286" s="28" t="s">
        <v>722</v>
      </c>
      <c r="E286" s="28" t="s">
        <v>1252</v>
      </c>
    </row>
    <row r="287" ht="14.4" spans="4:5">
      <c r="D287" s="28" t="s">
        <v>755</v>
      </c>
      <c r="E287" s="28" t="s">
        <v>1253</v>
      </c>
    </row>
    <row r="288" ht="14.4" spans="4:5">
      <c r="D288" s="28" t="s">
        <v>783</v>
      </c>
      <c r="E288" s="28" t="s">
        <v>1254</v>
      </c>
    </row>
    <row r="289" ht="14.4" spans="4:5">
      <c r="D289" s="28" t="s">
        <v>813</v>
      </c>
      <c r="E289" s="28" t="s">
        <v>1255</v>
      </c>
    </row>
    <row r="290" ht="14.4" spans="4:5">
      <c r="D290" s="28" t="s">
        <v>839</v>
      </c>
      <c r="E290" s="28" t="s">
        <v>1256</v>
      </c>
    </row>
    <row r="291" ht="14.4" spans="4:5">
      <c r="D291" s="28" t="s">
        <v>860</v>
      </c>
      <c r="E291" s="28" t="s">
        <v>1257</v>
      </c>
    </row>
    <row r="292" ht="14.4" spans="4:5">
      <c r="D292" s="28" t="s">
        <v>879</v>
      </c>
      <c r="E292" s="28" t="s">
        <v>1258</v>
      </c>
    </row>
    <row r="293" ht="14.4" spans="4:5">
      <c r="D293" s="28" t="s">
        <v>895</v>
      </c>
      <c r="E293" s="28" t="s">
        <v>1259</v>
      </c>
    </row>
    <row r="294" ht="14.4" spans="4:5">
      <c r="D294" s="28" t="s">
        <v>911</v>
      </c>
      <c r="E294" s="28" t="s">
        <v>1260</v>
      </c>
    </row>
    <row r="295" ht="14.4" spans="4:12">
      <c r="D295" s="28" t="s">
        <v>492</v>
      </c>
      <c r="E295" s="28">
        <v>460100</v>
      </c>
      <c r="H295" s="31"/>
      <c r="I295" s="42"/>
      <c r="L295" s="28"/>
    </row>
    <row r="296" ht="14.4" spans="4:12">
      <c r="D296" s="28" t="s">
        <v>526</v>
      </c>
      <c r="E296" s="28">
        <v>460200</v>
      </c>
      <c r="H296" s="31"/>
      <c r="I296" s="42"/>
      <c r="L296" s="28"/>
    </row>
    <row r="297" ht="14.4" spans="4:12">
      <c r="D297" s="28" t="s">
        <v>559</v>
      </c>
      <c r="E297" s="28">
        <v>460300</v>
      </c>
      <c r="H297" s="32"/>
      <c r="I297" s="42"/>
      <c r="L297" s="28"/>
    </row>
    <row r="298" ht="14.4" spans="4:12">
      <c r="D298" s="28" t="s">
        <v>593</v>
      </c>
      <c r="E298" s="28">
        <v>469001</v>
      </c>
      <c r="H298" s="32"/>
      <c r="I298" s="43"/>
      <c r="L298" s="28"/>
    </row>
    <row r="299" ht="14.4" spans="4:12">
      <c r="D299" s="28" t="s">
        <v>625</v>
      </c>
      <c r="E299" s="28">
        <v>469002</v>
      </c>
      <c r="H299" s="30"/>
      <c r="I299" s="43"/>
      <c r="L299" s="28"/>
    </row>
    <row r="300" ht="14.4" spans="4:12">
      <c r="D300" s="28" t="s">
        <v>659</v>
      </c>
      <c r="E300" s="28">
        <v>469003</v>
      </c>
      <c r="H300" s="30"/>
      <c r="I300" s="43"/>
      <c r="L300" s="28"/>
    </row>
    <row r="301" ht="14.4" spans="4:12">
      <c r="D301" s="28" t="s">
        <v>691</v>
      </c>
      <c r="E301" s="28">
        <v>469004</v>
      </c>
      <c r="H301" s="32"/>
      <c r="I301" s="43"/>
      <c r="L301" s="28"/>
    </row>
    <row r="302" ht="14.4" spans="4:12">
      <c r="D302" s="28" t="s">
        <v>723</v>
      </c>
      <c r="E302" s="28">
        <v>469005</v>
      </c>
      <c r="H302" s="32"/>
      <c r="I302" s="43"/>
      <c r="L302" s="28"/>
    </row>
    <row r="303" ht="14.4" spans="4:12">
      <c r="D303" s="28" t="s">
        <v>756</v>
      </c>
      <c r="E303" s="28">
        <v>469006</v>
      </c>
      <c r="H303" s="32"/>
      <c r="I303" s="43"/>
      <c r="L303" s="28"/>
    </row>
    <row r="304" ht="14.4" spans="4:12">
      <c r="D304" s="28" t="s">
        <v>784</v>
      </c>
      <c r="E304" s="28">
        <v>469007</v>
      </c>
      <c r="H304" s="30"/>
      <c r="I304" s="43"/>
      <c r="L304" s="28"/>
    </row>
    <row r="305" ht="14.4" spans="4:12">
      <c r="D305" s="28" t="s">
        <v>814</v>
      </c>
      <c r="E305" s="28">
        <v>469021</v>
      </c>
      <c r="H305" s="30"/>
      <c r="I305" s="43"/>
      <c r="L305" s="28"/>
    </row>
    <row r="306" ht="14.4" spans="4:12">
      <c r="D306" s="28" t="s">
        <v>840</v>
      </c>
      <c r="E306" s="28">
        <v>469022</v>
      </c>
      <c r="H306" s="32"/>
      <c r="I306" s="43"/>
      <c r="L306" s="28"/>
    </row>
    <row r="307" ht="14.4" spans="4:12">
      <c r="D307" s="28" t="s">
        <v>861</v>
      </c>
      <c r="E307" s="28">
        <v>469023</v>
      </c>
      <c r="H307" s="32"/>
      <c r="I307" s="43"/>
      <c r="L307" s="28"/>
    </row>
    <row r="308" ht="14.4" spans="4:12">
      <c r="D308" s="28" t="s">
        <v>880</v>
      </c>
      <c r="E308" s="28">
        <v>469024</v>
      </c>
      <c r="H308" s="32"/>
      <c r="I308" s="43"/>
      <c r="L308" s="28"/>
    </row>
    <row r="309" ht="14.4" spans="4:12">
      <c r="D309" s="28" t="s">
        <v>896</v>
      </c>
      <c r="E309" s="28" t="s">
        <v>1261</v>
      </c>
      <c r="H309" s="32"/>
      <c r="I309" s="43"/>
      <c r="L309" s="28"/>
    </row>
    <row r="310" ht="14.4" spans="4:12">
      <c r="D310" s="28" t="s">
        <v>912</v>
      </c>
      <c r="E310" s="28">
        <v>469026</v>
      </c>
      <c r="H310" s="32"/>
      <c r="I310" s="43"/>
      <c r="L310" s="28"/>
    </row>
    <row r="311" ht="14.4" spans="4:12">
      <c r="D311" s="28" t="s">
        <v>927</v>
      </c>
      <c r="E311" s="28" t="s">
        <v>1262</v>
      </c>
      <c r="H311" s="32"/>
      <c r="I311" s="43"/>
      <c r="L311" s="28"/>
    </row>
    <row r="312" ht="14.4" spans="4:12">
      <c r="D312" s="28" t="s">
        <v>939</v>
      </c>
      <c r="E312" s="28" t="s">
        <v>1263</v>
      </c>
      <c r="H312" s="41"/>
      <c r="I312" s="43"/>
      <c r="L312" s="28"/>
    </row>
    <row r="313" ht="14.4" spans="4:12">
      <c r="D313" s="28" t="s">
        <v>949</v>
      </c>
      <c r="E313" s="28" t="s">
        <v>1264</v>
      </c>
      <c r="H313" s="41"/>
      <c r="I313" s="43"/>
      <c r="L313" s="28"/>
    </row>
    <row r="314" ht="14.4" spans="4:12">
      <c r="D314" s="28" t="s">
        <v>957</v>
      </c>
      <c r="E314" s="28" t="s">
        <v>1265</v>
      </c>
      <c r="H314" s="41"/>
      <c r="I314" s="43"/>
      <c r="L314" s="28"/>
    </row>
    <row r="315" ht="14.4" spans="4:12">
      <c r="D315" s="28" t="s">
        <v>964</v>
      </c>
      <c r="E315" s="28" t="s">
        <v>1266</v>
      </c>
      <c r="H315" s="41"/>
      <c r="I315" s="43"/>
      <c r="L315" s="28"/>
    </row>
    <row r="316" ht="14.4" spans="4:12">
      <c r="D316" s="28" t="s">
        <v>970</v>
      </c>
      <c r="E316" s="28" t="s">
        <v>1267</v>
      </c>
      <c r="H316" s="41"/>
      <c r="I316" s="43"/>
      <c r="L316" s="28"/>
    </row>
    <row r="317" ht="14.4" spans="4:12">
      <c r="D317" s="28" t="s">
        <v>975</v>
      </c>
      <c r="E317" s="28" t="s">
        <v>1268</v>
      </c>
      <c r="H317" s="41"/>
      <c r="I317" s="43"/>
      <c r="L317" s="28"/>
    </row>
    <row r="318" spans="4:5">
      <c r="D318" t="s">
        <v>493</v>
      </c>
      <c r="E318" t="s">
        <v>1269</v>
      </c>
    </row>
    <row r="319" spans="4:5">
      <c r="D319" t="s">
        <v>527</v>
      </c>
      <c r="E319" t="s">
        <v>1270</v>
      </c>
    </row>
    <row r="320" spans="4:5">
      <c r="D320" t="s">
        <v>560</v>
      </c>
      <c r="E320" t="s">
        <v>1271</v>
      </c>
    </row>
    <row r="321" spans="4:5">
      <c r="D321" t="s">
        <v>594</v>
      </c>
      <c r="E321" t="s">
        <v>1272</v>
      </c>
    </row>
    <row r="322" spans="4:5">
      <c r="D322" t="s">
        <v>626</v>
      </c>
      <c r="E322" t="s">
        <v>1273</v>
      </c>
    </row>
    <row r="323" spans="4:5">
      <c r="D323" t="s">
        <v>660</v>
      </c>
      <c r="E323" t="s">
        <v>1274</v>
      </c>
    </row>
    <row r="324" spans="4:5">
      <c r="D324" t="s">
        <v>692</v>
      </c>
      <c r="E324" t="s">
        <v>1275</v>
      </c>
    </row>
    <row r="325" spans="4:5">
      <c r="D325" t="s">
        <v>724</v>
      </c>
      <c r="E325" t="s">
        <v>1276</v>
      </c>
    </row>
    <row r="326" spans="4:5">
      <c r="D326" t="s">
        <v>757</v>
      </c>
      <c r="E326" t="s">
        <v>1277</v>
      </c>
    </row>
    <row r="327" spans="4:5">
      <c r="D327" t="s">
        <v>785</v>
      </c>
      <c r="E327" t="s">
        <v>1278</v>
      </c>
    </row>
    <row r="328" spans="4:5">
      <c r="D328" t="s">
        <v>815</v>
      </c>
      <c r="E328" t="s">
        <v>1279</v>
      </c>
    </row>
    <row r="329" spans="4:5">
      <c r="D329" t="s">
        <v>841</v>
      </c>
      <c r="E329" t="s">
        <v>1280</v>
      </c>
    </row>
    <row r="330" spans="4:5">
      <c r="D330" t="s">
        <v>862</v>
      </c>
      <c r="E330" t="s">
        <v>1281</v>
      </c>
    </row>
    <row r="331" spans="4:5">
      <c r="D331" t="s">
        <v>881</v>
      </c>
      <c r="E331" t="s">
        <v>1282</v>
      </c>
    </row>
    <row r="332" spans="4:5">
      <c r="D332" t="s">
        <v>897</v>
      </c>
      <c r="E332" t="s">
        <v>1283</v>
      </c>
    </row>
    <row r="333" spans="4:5">
      <c r="D333" t="s">
        <v>913</v>
      </c>
      <c r="E333" t="s">
        <v>1284</v>
      </c>
    </row>
    <row r="334" spans="4:5">
      <c r="D334" t="s">
        <v>928</v>
      </c>
      <c r="E334" t="s">
        <v>1285</v>
      </c>
    </row>
    <row r="335" spans="4:5">
      <c r="D335" t="s">
        <v>940</v>
      </c>
      <c r="E335" t="s">
        <v>1286</v>
      </c>
    </row>
    <row r="336" spans="4:5">
      <c r="D336" t="s">
        <v>950</v>
      </c>
      <c r="E336" t="s">
        <v>1287</v>
      </c>
    </row>
    <row r="337" spans="4:5">
      <c r="D337" t="s">
        <v>958</v>
      </c>
      <c r="E337" t="s">
        <v>1288</v>
      </c>
    </row>
    <row r="338" spans="4:5">
      <c r="D338" t="s">
        <v>965</v>
      </c>
      <c r="E338" t="s">
        <v>1289</v>
      </c>
    </row>
    <row r="339" spans="4:5">
      <c r="D339" t="s">
        <v>971</v>
      </c>
      <c r="E339" t="s">
        <v>1290</v>
      </c>
    </row>
    <row r="340" spans="4:5">
      <c r="D340" t="s">
        <v>976</v>
      </c>
      <c r="E340" t="s">
        <v>1291</v>
      </c>
    </row>
    <row r="341" spans="4:5">
      <c r="D341" t="s">
        <v>980</v>
      </c>
      <c r="E341" t="s">
        <v>1292</v>
      </c>
    </row>
    <row r="342" spans="4:5">
      <c r="D342" t="s">
        <v>984</v>
      </c>
      <c r="E342" t="s">
        <v>1293</v>
      </c>
    </row>
    <row r="343" spans="4:5">
      <c r="D343" t="s">
        <v>988</v>
      </c>
      <c r="E343" t="s">
        <v>1294</v>
      </c>
    </row>
    <row r="344" ht="14.4" spans="4:5">
      <c r="D344" s="28" t="s">
        <v>494</v>
      </c>
      <c r="E344" s="28" t="s">
        <v>1295</v>
      </c>
    </row>
    <row r="345" ht="14.4" spans="4:5">
      <c r="D345" s="28" t="s">
        <v>528</v>
      </c>
      <c r="E345" s="28" t="s">
        <v>1296</v>
      </c>
    </row>
    <row r="346" ht="14.4" spans="4:5">
      <c r="D346" s="28" t="s">
        <v>561</v>
      </c>
      <c r="E346" s="28" t="s">
        <v>1297</v>
      </c>
    </row>
    <row r="347" ht="14.4" spans="4:5">
      <c r="D347" s="28" t="s">
        <v>595</v>
      </c>
      <c r="E347" s="28" t="s">
        <v>1298</v>
      </c>
    </row>
    <row r="348" ht="14.4" spans="4:5">
      <c r="D348" s="28" t="s">
        <v>627</v>
      </c>
      <c r="E348" s="28" t="s">
        <v>1299</v>
      </c>
    </row>
    <row r="349" ht="14.4" spans="4:5">
      <c r="D349" s="27" t="s">
        <v>661</v>
      </c>
      <c r="E349" s="27" t="s">
        <v>1300</v>
      </c>
    </row>
    <row r="350" ht="14.4" spans="4:5">
      <c r="D350" s="28" t="s">
        <v>693</v>
      </c>
      <c r="E350" s="28" t="s">
        <v>1301</v>
      </c>
    </row>
    <row r="351" ht="14.4" spans="4:5">
      <c r="D351" s="28" t="s">
        <v>725</v>
      </c>
      <c r="E351" s="28" t="s">
        <v>1302</v>
      </c>
    </row>
    <row r="352" ht="14.4" spans="4:5">
      <c r="D352" s="28" t="s">
        <v>758</v>
      </c>
      <c r="E352" s="28" t="s">
        <v>1303</v>
      </c>
    </row>
    <row r="353" ht="14.4" spans="4:5">
      <c r="D353" s="28" t="s">
        <v>786</v>
      </c>
      <c r="E353" s="28" t="s">
        <v>1304</v>
      </c>
    </row>
    <row r="354" ht="14.4" spans="4:5">
      <c r="D354" s="28" t="s">
        <v>816</v>
      </c>
      <c r="E354" s="28" t="s">
        <v>1305</v>
      </c>
    </row>
    <row r="355" ht="14.4" spans="4:5">
      <c r="D355" s="28" t="s">
        <v>842</v>
      </c>
      <c r="E355" s="28" t="s">
        <v>1306</v>
      </c>
    </row>
    <row r="356" ht="14.4" spans="4:5">
      <c r="D356" s="28" t="s">
        <v>863</v>
      </c>
      <c r="E356" s="28" t="s">
        <v>1307</v>
      </c>
    </row>
    <row r="357" ht="14.4" spans="4:5">
      <c r="D357" s="28" t="s">
        <v>882</v>
      </c>
      <c r="E357" s="28" t="s">
        <v>1308</v>
      </c>
    </row>
    <row r="358" ht="14.4" spans="4:5">
      <c r="D358" s="28" t="s">
        <v>898</v>
      </c>
      <c r="E358" s="28" t="s">
        <v>1309</v>
      </c>
    </row>
    <row r="359" ht="14.4" spans="4:5">
      <c r="D359" s="28" t="s">
        <v>914</v>
      </c>
      <c r="E359" s="28" t="s">
        <v>1310</v>
      </c>
    </row>
    <row r="360" ht="14.4" spans="4:5">
      <c r="D360" s="28" t="s">
        <v>929</v>
      </c>
      <c r="E360" s="28" t="s">
        <v>1311</v>
      </c>
    </row>
    <row r="361" ht="14.4" spans="4:5">
      <c r="D361" s="28" t="s">
        <v>941</v>
      </c>
      <c r="E361" s="28" t="s">
        <v>1312</v>
      </c>
    </row>
    <row r="362" ht="14.4" spans="4:5">
      <c r="D362" s="28" t="s">
        <v>951</v>
      </c>
      <c r="E362" s="28" t="s">
        <v>1313</v>
      </c>
    </row>
    <row r="363" ht="14.4" spans="4:5">
      <c r="D363" s="28" t="s">
        <v>959</v>
      </c>
      <c r="E363" s="28" t="s">
        <v>1314</v>
      </c>
    </row>
    <row r="364" ht="14.4" spans="4:5">
      <c r="D364" s="28" t="s">
        <v>966</v>
      </c>
      <c r="E364" s="28" t="s">
        <v>1315</v>
      </c>
    </row>
    <row r="365" ht="14.4" spans="4:5">
      <c r="D365" s="44" t="s">
        <v>495</v>
      </c>
      <c r="E365" s="44" t="s">
        <v>1316</v>
      </c>
    </row>
    <row r="366" ht="14.4" spans="4:5">
      <c r="D366" s="44" t="s">
        <v>529</v>
      </c>
      <c r="E366" s="44" t="s">
        <v>1317</v>
      </c>
    </row>
    <row r="367" ht="14.4" spans="4:5">
      <c r="D367" s="44" t="s">
        <v>562</v>
      </c>
      <c r="E367" s="44" t="s">
        <v>1318</v>
      </c>
    </row>
    <row r="368" ht="14.4" spans="4:5">
      <c r="D368" s="44" t="s">
        <v>596</v>
      </c>
      <c r="E368" s="44" t="s">
        <v>1319</v>
      </c>
    </row>
    <row r="369" ht="14.4" spans="4:5">
      <c r="D369" s="44" t="s">
        <v>628</v>
      </c>
      <c r="E369" s="44" t="s">
        <v>1320</v>
      </c>
    </row>
    <row r="370" ht="14.4" spans="4:5">
      <c r="D370" s="45" t="s">
        <v>662</v>
      </c>
      <c r="E370" s="44" t="s">
        <v>1321</v>
      </c>
    </row>
    <row r="371" ht="14.4" spans="4:5">
      <c r="D371" s="46" t="s">
        <v>694</v>
      </c>
      <c r="E371" s="48" t="s">
        <v>1322</v>
      </c>
    </row>
    <row r="372" ht="14.4" spans="4:5">
      <c r="D372" s="45" t="s">
        <v>726</v>
      </c>
      <c r="E372" s="44" t="s">
        <v>1323</v>
      </c>
    </row>
    <row r="373" ht="14.4" spans="4:5">
      <c r="D373" s="46" t="s">
        <v>759</v>
      </c>
      <c r="E373" s="48" t="s">
        <v>1324</v>
      </c>
    </row>
    <row r="374" ht="14.4" spans="4:5">
      <c r="D374" s="45" t="s">
        <v>787</v>
      </c>
      <c r="E374" s="44" t="s">
        <v>1325</v>
      </c>
    </row>
    <row r="375" ht="14.4" spans="4:5">
      <c r="D375" s="45" t="s">
        <v>817</v>
      </c>
      <c r="E375" s="44" t="s">
        <v>1326</v>
      </c>
    </row>
    <row r="376" ht="14.4" spans="4:5">
      <c r="D376" s="47" t="s">
        <v>496</v>
      </c>
      <c r="E376" s="28" t="s">
        <v>1327</v>
      </c>
    </row>
    <row r="377" ht="14.4" spans="4:5">
      <c r="D377" s="47" t="s">
        <v>530</v>
      </c>
      <c r="E377" s="28" t="s">
        <v>1328</v>
      </c>
    </row>
    <row r="378" ht="14.4" spans="4:5">
      <c r="D378" s="47" t="s">
        <v>563</v>
      </c>
      <c r="E378" s="28" t="s">
        <v>1329</v>
      </c>
    </row>
    <row r="379" ht="14.4" spans="4:5">
      <c r="D379" s="47" t="s">
        <v>597</v>
      </c>
      <c r="E379" s="28" t="s">
        <v>1330</v>
      </c>
    </row>
    <row r="380" ht="14.4" spans="4:5">
      <c r="D380" s="47" t="s">
        <v>629</v>
      </c>
      <c r="E380" s="28" t="s">
        <v>1331</v>
      </c>
    </row>
    <row r="381" ht="14.4" spans="4:5">
      <c r="D381" s="47" t="s">
        <v>663</v>
      </c>
      <c r="E381" s="28" t="s">
        <v>1332</v>
      </c>
    </row>
    <row r="382" ht="14.4" spans="4:5">
      <c r="D382" s="47" t="s">
        <v>695</v>
      </c>
      <c r="E382" s="28" t="s">
        <v>1333</v>
      </c>
    </row>
    <row r="383" ht="14.4" spans="4:5">
      <c r="D383" s="47" t="s">
        <v>727</v>
      </c>
      <c r="E383" s="28" t="s">
        <v>1334</v>
      </c>
    </row>
    <row r="384" ht="14.4" spans="4:5">
      <c r="D384" s="26" t="s">
        <v>760</v>
      </c>
      <c r="E384" s="28" t="s">
        <v>1335</v>
      </c>
    </row>
    <row r="385" ht="14.4" spans="4:5">
      <c r="D385" s="26" t="s">
        <v>788</v>
      </c>
      <c r="E385" s="28" t="s">
        <v>1336</v>
      </c>
    </row>
    <row r="386" ht="14.4" spans="4:5">
      <c r="D386" s="26" t="s">
        <v>818</v>
      </c>
      <c r="E386" s="28" t="s">
        <v>1337</v>
      </c>
    </row>
    <row r="387" ht="14.4" spans="4:5">
      <c r="D387" s="26" t="s">
        <v>843</v>
      </c>
      <c r="E387" s="28" t="s">
        <v>1338</v>
      </c>
    </row>
    <row r="388" ht="14.4" spans="4:5">
      <c r="D388" s="26" t="s">
        <v>864</v>
      </c>
      <c r="E388" s="28" t="s">
        <v>1339</v>
      </c>
    </row>
    <row r="389" ht="14.4" spans="4:5">
      <c r="D389" s="26" t="s">
        <v>883</v>
      </c>
      <c r="E389" s="28" t="s">
        <v>1340</v>
      </c>
    </row>
    <row r="390" ht="14.4" spans="4:5">
      <c r="D390" s="26" t="s">
        <v>899</v>
      </c>
      <c r="E390" s="28" t="s">
        <v>1341</v>
      </c>
    </row>
    <row r="391" ht="14.4" spans="4:5">
      <c r="D391" s="27" t="s">
        <v>915</v>
      </c>
      <c r="E391" s="27" t="s">
        <v>1342</v>
      </c>
    </row>
    <row r="392" ht="14.4" spans="4:5">
      <c r="D392" s="28" t="s">
        <v>930</v>
      </c>
      <c r="E392" s="28" t="s">
        <v>1343</v>
      </c>
    </row>
    <row r="393" ht="14.4" spans="4:5">
      <c r="D393" s="27" t="s">
        <v>942</v>
      </c>
      <c r="E393" s="27" t="s">
        <v>1344</v>
      </c>
    </row>
    <row r="394" ht="14.4" spans="4:5">
      <c r="D394" s="28" t="s">
        <v>952</v>
      </c>
      <c r="E394" s="28" t="s">
        <v>1345</v>
      </c>
    </row>
    <row r="395" ht="14.4" spans="4:5">
      <c r="D395" s="27" t="s">
        <v>497</v>
      </c>
      <c r="E395" s="27" t="s">
        <v>1346</v>
      </c>
    </row>
    <row r="396" ht="14.4" spans="4:5">
      <c r="D396" s="27" t="s">
        <v>531</v>
      </c>
      <c r="E396" s="27" t="s">
        <v>1347</v>
      </c>
    </row>
    <row r="397" ht="14.4" spans="4:5">
      <c r="D397" s="27" t="s">
        <v>564</v>
      </c>
      <c r="E397" s="27" t="s">
        <v>1348</v>
      </c>
    </row>
    <row r="398" ht="14.4" spans="4:5">
      <c r="D398" s="27" t="s">
        <v>598</v>
      </c>
      <c r="E398" s="27" t="s">
        <v>1349</v>
      </c>
    </row>
    <row r="399" ht="14.4" spans="4:5">
      <c r="D399" s="27" t="s">
        <v>630</v>
      </c>
      <c r="E399" s="27" t="s">
        <v>1350</v>
      </c>
    </row>
    <row r="400" ht="14.4" spans="4:5">
      <c r="D400" s="27" t="s">
        <v>664</v>
      </c>
      <c r="E400" s="27" t="s">
        <v>1351</v>
      </c>
    </row>
    <row r="401" ht="14.4" spans="4:5">
      <c r="D401" s="27" t="s">
        <v>696</v>
      </c>
      <c r="E401" s="27" t="s">
        <v>1352</v>
      </c>
    </row>
    <row r="402" ht="14.4" spans="4:5">
      <c r="D402" s="27" t="s">
        <v>728</v>
      </c>
      <c r="E402" s="27" t="s">
        <v>1353</v>
      </c>
    </row>
    <row r="403" ht="14.4" spans="4:5">
      <c r="D403" s="27" t="s">
        <v>761</v>
      </c>
      <c r="E403" s="27" t="s">
        <v>1354</v>
      </c>
    </row>
    <row r="404" ht="14.4" spans="4:5">
      <c r="D404" s="27" t="s">
        <v>789</v>
      </c>
      <c r="E404" s="27" t="s">
        <v>1355</v>
      </c>
    </row>
    <row r="405" ht="14.4" spans="4:5">
      <c r="D405" s="27" t="s">
        <v>819</v>
      </c>
      <c r="E405" s="27" t="s">
        <v>1356</v>
      </c>
    </row>
    <row r="406" ht="14.4" spans="4:5">
      <c r="D406" s="47" t="s">
        <v>498</v>
      </c>
      <c r="E406" s="47" t="s">
        <v>1357</v>
      </c>
    </row>
    <row r="407" ht="14.4" spans="4:5">
      <c r="D407" s="47" t="s">
        <v>532</v>
      </c>
      <c r="E407" s="47" t="s">
        <v>1358</v>
      </c>
    </row>
    <row r="408" ht="14.4" spans="4:5">
      <c r="D408" s="47" t="s">
        <v>565</v>
      </c>
      <c r="E408" s="47" t="s">
        <v>1359</v>
      </c>
    </row>
    <row r="409" ht="14.4" spans="4:5">
      <c r="D409" s="47" t="s">
        <v>599</v>
      </c>
      <c r="E409" s="47" t="s">
        <v>1360</v>
      </c>
    </row>
    <row r="410" ht="14.4" spans="4:5">
      <c r="D410" s="47" t="s">
        <v>631</v>
      </c>
      <c r="E410" s="47" t="s">
        <v>1361</v>
      </c>
    </row>
    <row r="411" ht="14.4" spans="4:5">
      <c r="D411" s="47" t="s">
        <v>665</v>
      </c>
      <c r="E411" s="47" t="s">
        <v>1362</v>
      </c>
    </row>
    <row r="412" ht="14.4" spans="4:5">
      <c r="D412" s="47" t="s">
        <v>697</v>
      </c>
      <c r="E412" s="47" t="s">
        <v>1363</v>
      </c>
    </row>
    <row r="413" spans="4:5">
      <c r="D413" s="26" t="s">
        <v>729</v>
      </c>
      <c r="E413" s="26" t="s">
        <v>1364</v>
      </c>
    </row>
    <row r="414" spans="4:5">
      <c r="D414" s="26" t="s">
        <v>762</v>
      </c>
      <c r="E414" s="26" t="s">
        <v>1365</v>
      </c>
    </row>
    <row r="415" spans="4:5">
      <c r="D415" s="26" t="s">
        <v>790</v>
      </c>
      <c r="E415" s="26" t="s">
        <v>1366</v>
      </c>
    </row>
    <row r="416" spans="4:5">
      <c r="D416" s="26" t="s">
        <v>499</v>
      </c>
      <c r="E416" s="26" t="s">
        <v>1367</v>
      </c>
    </row>
    <row r="417" spans="4:5">
      <c r="D417" s="26" t="s">
        <v>533</v>
      </c>
      <c r="E417" s="26" t="s">
        <v>1368</v>
      </c>
    </row>
    <row r="418" spans="4:5">
      <c r="D418" s="26" t="s">
        <v>566</v>
      </c>
      <c r="E418" s="26" t="s">
        <v>1369</v>
      </c>
    </row>
    <row r="419" ht="14.4" spans="4:5">
      <c r="D419" s="27" t="s">
        <v>600</v>
      </c>
      <c r="E419" s="27" t="s">
        <v>1370</v>
      </c>
    </row>
    <row r="420" ht="14.4" spans="4:5">
      <c r="D420" s="28" t="s">
        <v>632</v>
      </c>
      <c r="E420" s="28" t="s">
        <v>1371</v>
      </c>
    </row>
    <row r="421" ht="14.4" spans="4:5">
      <c r="D421" s="47" t="s">
        <v>666</v>
      </c>
      <c r="E421" s="47" t="s">
        <v>1372</v>
      </c>
    </row>
    <row r="422" ht="14.4" spans="4:5">
      <c r="D422" s="47" t="s">
        <v>698</v>
      </c>
      <c r="E422" s="47" t="s">
        <v>1373</v>
      </c>
    </row>
    <row r="423" ht="14.4" spans="4:5">
      <c r="D423" s="47" t="s">
        <v>730</v>
      </c>
      <c r="E423" s="47" t="s">
        <v>1374</v>
      </c>
    </row>
    <row r="424" ht="14.4" spans="4:5">
      <c r="D424" s="47" t="s">
        <v>763</v>
      </c>
      <c r="E424" s="47" t="s">
        <v>1375</v>
      </c>
    </row>
    <row r="425" ht="14.4" spans="4:5">
      <c r="D425" s="47" t="s">
        <v>791</v>
      </c>
      <c r="E425" s="47" t="s">
        <v>1376</v>
      </c>
    </row>
    <row r="426" ht="14.4" spans="4:5">
      <c r="D426" s="47" t="s">
        <v>820</v>
      </c>
      <c r="E426" s="47" t="s">
        <v>1377</v>
      </c>
    </row>
    <row r="427" ht="14.4" spans="4:5">
      <c r="D427" s="47" t="s">
        <v>844</v>
      </c>
      <c r="E427" s="47" t="s">
        <v>1378</v>
      </c>
    </row>
    <row r="428" ht="14.4" spans="4:5">
      <c r="D428" s="47" t="s">
        <v>865</v>
      </c>
      <c r="E428" s="47" t="s">
        <v>1379</v>
      </c>
    </row>
    <row r="429" spans="4:5">
      <c r="D429" s="49" t="s">
        <v>884</v>
      </c>
      <c r="E429" s="49" t="s">
        <v>1380</v>
      </c>
    </row>
    <row r="430" spans="4:5">
      <c r="D430" s="26" t="s">
        <v>900</v>
      </c>
      <c r="E430" s="26" t="s">
        <v>1381</v>
      </c>
    </row>
    <row r="431" spans="4:5">
      <c r="D431" s="26" t="s">
        <v>916</v>
      </c>
      <c r="E431" s="26" t="s">
        <v>1382</v>
      </c>
    </row>
    <row r="432" spans="4:5">
      <c r="D432" s="26" t="s">
        <v>500</v>
      </c>
      <c r="E432" s="26" t="s">
        <v>1383</v>
      </c>
    </row>
    <row r="433" spans="4:5">
      <c r="D433" s="26" t="s">
        <v>534</v>
      </c>
      <c r="E433" s="26" t="s">
        <v>1384</v>
      </c>
    </row>
    <row r="434" spans="4:5">
      <c r="D434" s="26" t="s">
        <v>567</v>
      </c>
      <c r="E434" s="26" t="s">
        <v>1385</v>
      </c>
    </row>
    <row r="435" spans="4:5">
      <c r="D435" s="26" t="s">
        <v>601</v>
      </c>
      <c r="E435" s="26" t="s">
        <v>1386</v>
      </c>
    </row>
    <row r="436" spans="4:5">
      <c r="D436" s="26" t="s">
        <v>633</v>
      </c>
      <c r="E436" s="26" t="s">
        <v>1387</v>
      </c>
    </row>
    <row r="437" spans="4:5">
      <c r="D437" s="26" t="s">
        <v>667</v>
      </c>
      <c r="E437" s="26" t="s">
        <v>1388</v>
      </c>
    </row>
    <row r="438" spans="4:5">
      <c r="D438" s="26" t="s">
        <v>699</v>
      </c>
      <c r="E438" s="26" t="s">
        <v>1389</v>
      </c>
    </row>
    <row r="439" spans="4:5">
      <c r="D439" s="26" t="s">
        <v>731</v>
      </c>
      <c r="E439" s="26" t="s">
        <v>1390</v>
      </c>
    </row>
    <row r="440" spans="4:5">
      <c r="D440" s="26" t="s">
        <v>501</v>
      </c>
      <c r="E440" s="26" t="s">
        <v>1391</v>
      </c>
    </row>
    <row r="441" spans="4:5">
      <c r="D441" s="26" t="s">
        <v>535</v>
      </c>
      <c r="E441" s="26" t="s">
        <v>1392</v>
      </c>
    </row>
    <row r="442" spans="4:5">
      <c r="D442" s="26" t="s">
        <v>568</v>
      </c>
      <c r="E442" s="26" t="s">
        <v>1393</v>
      </c>
    </row>
    <row r="443" spans="4:5">
      <c r="D443" s="26" t="s">
        <v>602</v>
      </c>
      <c r="E443" s="26" t="s">
        <v>1394</v>
      </c>
    </row>
    <row r="444" spans="4:5">
      <c r="D444" s="26" t="s">
        <v>634</v>
      </c>
      <c r="E444" s="26" t="s">
        <v>1395</v>
      </c>
    </row>
    <row r="445" spans="4:5">
      <c r="D445" s="26" t="s">
        <v>502</v>
      </c>
      <c r="E445" s="26" t="s">
        <v>1396</v>
      </c>
    </row>
    <row r="446" spans="4:5">
      <c r="D446" s="26" t="s">
        <v>536</v>
      </c>
      <c r="E446" s="26" t="s">
        <v>1397</v>
      </c>
    </row>
    <row r="447" spans="4:5">
      <c r="D447" s="26" t="s">
        <v>569</v>
      </c>
      <c r="E447" s="26" t="s">
        <v>1398</v>
      </c>
    </row>
    <row r="448" spans="4:5">
      <c r="D448" s="26" t="s">
        <v>603</v>
      </c>
      <c r="E448" s="26" t="s">
        <v>1399</v>
      </c>
    </row>
    <row r="449" spans="4:5">
      <c r="D449" s="26" t="s">
        <v>635</v>
      </c>
      <c r="E449" s="26">
        <v>652100</v>
      </c>
    </row>
    <row r="450" spans="4:5">
      <c r="D450" s="26" t="s">
        <v>668</v>
      </c>
      <c r="E450" s="26">
        <v>652200</v>
      </c>
    </row>
    <row r="451" spans="4:5">
      <c r="D451" s="26" t="s">
        <v>700</v>
      </c>
      <c r="E451" s="26">
        <v>652300</v>
      </c>
    </row>
    <row r="452" spans="4:5">
      <c r="D452" s="26" t="s">
        <v>732</v>
      </c>
      <c r="E452" s="26">
        <v>652700</v>
      </c>
    </row>
    <row r="453" spans="4:5">
      <c r="D453" s="26" t="s">
        <v>764</v>
      </c>
      <c r="E453" s="26">
        <v>652800</v>
      </c>
    </row>
    <row r="454" spans="4:5">
      <c r="D454" s="26" t="s">
        <v>792</v>
      </c>
      <c r="E454" s="26">
        <v>652900</v>
      </c>
    </row>
    <row r="455" spans="4:5">
      <c r="D455" s="26" t="s">
        <v>821</v>
      </c>
      <c r="E455" s="26">
        <v>653000</v>
      </c>
    </row>
    <row r="456" spans="4:5">
      <c r="D456" s="26" t="s">
        <v>845</v>
      </c>
      <c r="E456" s="26">
        <v>653100</v>
      </c>
    </row>
    <row r="457" spans="4:5">
      <c r="D457" s="26" t="s">
        <v>866</v>
      </c>
      <c r="E457" s="26">
        <v>653200</v>
      </c>
    </row>
    <row r="458" spans="4:5">
      <c r="D458" s="26" t="s">
        <v>885</v>
      </c>
      <c r="E458" s="26">
        <v>654000</v>
      </c>
    </row>
    <row r="459" spans="4:5">
      <c r="D459" s="26" t="s">
        <v>901</v>
      </c>
      <c r="E459" s="26">
        <v>654200</v>
      </c>
    </row>
    <row r="460" spans="4:5">
      <c r="D460" s="26" t="s">
        <v>917</v>
      </c>
      <c r="E460" s="26">
        <v>654300</v>
      </c>
    </row>
    <row r="461" spans="4:5">
      <c r="D461" s="26" t="s">
        <v>931</v>
      </c>
      <c r="E461" s="26">
        <v>659000</v>
      </c>
    </row>
    <row r="462" spans="4:5">
      <c r="D462" s="26" t="s">
        <v>943</v>
      </c>
      <c r="E462" s="26">
        <v>659001</v>
      </c>
    </row>
    <row r="463" spans="4:5">
      <c r="D463" s="26" t="s">
        <v>953</v>
      </c>
      <c r="E463" s="26">
        <v>659002</v>
      </c>
    </row>
    <row r="464" spans="4:5">
      <c r="D464" s="26" t="s">
        <v>960</v>
      </c>
      <c r="E464" s="26">
        <v>659003</v>
      </c>
    </row>
    <row r="465" spans="4:5">
      <c r="D465" s="26" t="s">
        <v>967</v>
      </c>
      <c r="E465" s="26">
        <v>659004</v>
      </c>
    </row>
    <row r="466" spans="4:5">
      <c r="D466" s="26" t="s">
        <v>972</v>
      </c>
      <c r="E466" s="26">
        <v>659005</v>
      </c>
    </row>
    <row r="467" spans="4:5">
      <c r="D467" s="26" t="s">
        <v>977</v>
      </c>
      <c r="E467" s="26">
        <v>659006</v>
      </c>
    </row>
    <row r="468" spans="4:5">
      <c r="D468" s="26" t="s">
        <v>981</v>
      </c>
      <c r="E468" s="26">
        <v>659007</v>
      </c>
    </row>
    <row r="469" spans="4:5">
      <c r="D469" s="26" t="s">
        <v>985</v>
      </c>
      <c r="E469" s="26">
        <v>659008</v>
      </c>
    </row>
    <row r="470" spans="4:5">
      <c r="D470" s="26" t="s">
        <v>989</v>
      </c>
      <c r="E470" s="26">
        <v>659009</v>
      </c>
    </row>
    <row r="485" spans="4:5">
      <c r="D485" s="49"/>
      <c r="E485" s="49"/>
    </row>
    <row r="494" spans="4:5">
      <c r="D494" s="49"/>
      <c r="E494" s="49"/>
    </row>
    <row r="500" spans="4:5">
      <c r="D500" s="49"/>
      <c r="E500" s="49"/>
    </row>
    <row r="520" spans="4:4">
      <c r="D520" s="49"/>
    </row>
    <row r="521" spans="4:4">
      <c r="D521" s="49"/>
    </row>
  </sheetData>
  <sheetProtection password="C616" sheet="1" objects="1" scenarios="1"/>
  <sortState ref="D365:E375">
    <sortCondition ref="E344:E354"/>
  </sortState>
  <pageMargins left="0.699305555555556" right="0.699305555555556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A1:E53"/>
  <sheetViews>
    <sheetView topLeftCell="A22" workbookViewId="0">
      <selection activeCell="A55" sqref="A55"/>
    </sheetView>
  </sheetViews>
  <sheetFormatPr defaultColWidth="8.8359375" defaultRowHeight="14" outlineLevelCol="4"/>
  <cols>
    <col min="1" max="1" width="54.6640625" customWidth="1"/>
    <col min="2" max="4" width="17" customWidth="1"/>
    <col min="5" max="5" width="13.6640625" style="19" customWidth="1"/>
  </cols>
  <sheetData>
    <row r="1" ht="16" spans="1:5">
      <c r="A1" s="1" t="s">
        <v>303</v>
      </c>
      <c r="B1" s="2" t="s">
        <v>232</v>
      </c>
      <c r="C1" s="3" t="s">
        <v>304</v>
      </c>
      <c r="D1" s="4" t="s">
        <v>305</v>
      </c>
      <c r="E1" s="9" t="s">
        <v>1400</v>
      </c>
    </row>
    <row r="2" ht="15.2" spans="1:5">
      <c r="A2" s="20" t="s">
        <v>134</v>
      </c>
      <c r="B2" s="21" t="s">
        <v>1401</v>
      </c>
      <c r="C2" s="22"/>
      <c r="D2" s="22"/>
      <c r="E2" s="9">
        <v>0</v>
      </c>
    </row>
    <row r="3" ht="15.2" spans="1:5">
      <c r="A3" s="23" t="s">
        <v>1402</v>
      </c>
      <c r="B3" s="21" t="s">
        <v>1403</v>
      </c>
      <c r="C3" s="24"/>
      <c r="D3" s="24"/>
      <c r="E3" s="9">
        <v>1</v>
      </c>
    </row>
    <row r="4" ht="15.2" spans="1:5">
      <c r="A4" s="23" t="s">
        <v>1404</v>
      </c>
      <c r="B4" s="21" t="s">
        <v>1405</v>
      </c>
      <c r="C4" s="9"/>
      <c r="D4" s="9"/>
      <c r="E4" s="9">
        <v>1</v>
      </c>
    </row>
    <row r="5" ht="15.2" spans="1:5">
      <c r="A5" s="23" t="s">
        <v>1406</v>
      </c>
      <c r="B5" s="21" t="s">
        <v>1407</v>
      </c>
      <c r="C5" s="9"/>
      <c r="D5" s="9"/>
      <c r="E5" s="9">
        <v>1</v>
      </c>
    </row>
    <row r="6" ht="15.2" spans="1:5">
      <c r="A6" s="23" t="s">
        <v>1408</v>
      </c>
      <c r="B6" s="21" t="s">
        <v>1409</v>
      </c>
      <c r="C6" s="9"/>
      <c r="D6" s="9"/>
      <c r="E6" s="9">
        <v>1</v>
      </c>
    </row>
    <row r="7" ht="15.2" spans="1:5">
      <c r="A7" s="23" t="s">
        <v>1410</v>
      </c>
      <c r="B7" s="21" t="s">
        <v>1411</v>
      </c>
      <c r="C7" s="9"/>
      <c r="D7" s="9"/>
      <c r="E7" s="9">
        <v>1</v>
      </c>
    </row>
    <row r="8" ht="15.2" spans="1:5">
      <c r="A8" s="23" t="s">
        <v>1412</v>
      </c>
      <c r="B8" s="21" t="s">
        <v>1413</v>
      </c>
      <c r="C8" s="9"/>
      <c r="D8" s="9"/>
      <c r="E8" s="9">
        <v>1</v>
      </c>
    </row>
    <row r="9" ht="15.2" spans="1:5">
      <c r="A9" s="23" t="s">
        <v>1414</v>
      </c>
      <c r="B9" s="21" t="s">
        <v>1415</v>
      </c>
      <c r="C9" s="9"/>
      <c r="D9" s="9"/>
      <c r="E9" s="9">
        <v>1</v>
      </c>
    </row>
    <row r="10" ht="15.2" spans="1:5">
      <c r="A10" s="23" t="s">
        <v>1416</v>
      </c>
      <c r="B10" s="21" t="s">
        <v>1417</v>
      </c>
      <c r="C10" s="9"/>
      <c r="D10" s="9"/>
      <c r="E10" s="9">
        <v>1</v>
      </c>
    </row>
    <row r="11" ht="15.2" spans="1:5">
      <c r="A11" s="23" t="s">
        <v>1418</v>
      </c>
      <c r="B11" s="21" t="s">
        <v>1419</v>
      </c>
      <c r="C11" s="9"/>
      <c r="D11" s="9"/>
      <c r="E11" s="9">
        <v>1</v>
      </c>
    </row>
    <row r="12" ht="15.2" spans="1:5">
      <c r="A12" s="20" t="s">
        <v>148</v>
      </c>
      <c r="B12" s="21" t="s">
        <v>1420</v>
      </c>
      <c r="C12" s="9"/>
      <c r="D12" s="9"/>
      <c r="E12" s="9">
        <v>0</v>
      </c>
    </row>
    <row r="13" ht="15.2" spans="1:5">
      <c r="A13" s="23" t="s">
        <v>1421</v>
      </c>
      <c r="B13" s="21" t="s">
        <v>1422</v>
      </c>
      <c r="C13" s="24"/>
      <c r="D13" s="24"/>
      <c r="E13" s="9">
        <v>1</v>
      </c>
    </row>
    <row r="14" ht="15.2" spans="1:5">
      <c r="A14" s="23" t="s">
        <v>1423</v>
      </c>
      <c r="B14" s="21" t="s">
        <v>1424</v>
      </c>
      <c r="C14" s="24"/>
      <c r="D14" s="24"/>
      <c r="E14" s="9">
        <v>1</v>
      </c>
    </row>
    <row r="15" ht="15.2" spans="1:5">
      <c r="A15" s="23" t="s">
        <v>1425</v>
      </c>
      <c r="B15" s="21" t="s">
        <v>1426</v>
      </c>
      <c r="C15" s="9"/>
      <c r="D15" s="9"/>
      <c r="E15" s="9">
        <v>1</v>
      </c>
    </row>
    <row r="16" ht="15.2" spans="1:5">
      <c r="A16" s="23" t="s">
        <v>1427</v>
      </c>
      <c r="B16" s="21" t="s">
        <v>1428</v>
      </c>
      <c r="C16" s="9"/>
      <c r="D16" s="9"/>
      <c r="E16" s="9">
        <v>1</v>
      </c>
    </row>
    <row r="17" ht="15.2" spans="1:5">
      <c r="A17" s="23" t="s">
        <v>1429</v>
      </c>
      <c r="B17" s="21" t="s">
        <v>1430</v>
      </c>
      <c r="C17" s="9"/>
      <c r="D17" s="9"/>
      <c r="E17" s="9">
        <v>1</v>
      </c>
    </row>
    <row r="18" ht="15.2" spans="1:5">
      <c r="A18" s="23" t="s">
        <v>1431</v>
      </c>
      <c r="B18" s="21" t="s">
        <v>1432</v>
      </c>
      <c r="C18" s="9"/>
      <c r="D18" s="9"/>
      <c r="E18" s="9">
        <v>1</v>
      </c>
    </row>
    <row r="19" ht="15.2" spans="1:5">
      <c r="A19" s="23" t="s">
        <v>1433</v>
      </c>
      <c r="B19" s="21" t="s">
        <v>1434</v>
      </c>
      <c r="C19" s="9"/>
      <c r="D19" s="9"/>
      <c r="E19" s="9">
        <v>1</v>
      </c>
    </row>
    <row r="20" ht="15.2" spans="1:5">
      <c r="A20" s="23" t="s">
        <v>1435</v>
      </c>
      <c r="B20" s="21" t="s">
        <v>1436</v>
      </c>
      <c r="C20" s="9"/>
      <c r="D20" s="9"/>
      <c r="E20" s="9">
        <v>1</v>
      </c>
    </row>
    <row r="21" ht="15.2" spans="1:5">
      <c r="A21" s="23" t="s">
        <v>1437</v>
      </c>
      <c r="B21" s="21" t="s">
        <v>1438</v>
      </c>
      <c r="C21" s="9"/>
      <c r="D21" s="9"/>
      <c r="E21" s="9">
        <v>1</v>
      </c>
    </row>
    <row r="22" ht="15.2" spans="1:5">
      <c r="A22" s="23" t="s">
        <v>1439</v>
      </c>
      <c r="B22" s="21" t="s">
        <v>1440</v>
      </c>
      <c r="C22" s="9"/>
      <c r="D22" s="9"/>
      <c r="E22" s="9">
        <v>1</v>
      </c>
    </row>
    <row r="23" ht="15.2" spans="1:5">
      <c r="A23" s="23" t="s">
        <v>1441</v>
      </c>
      <c r="B23" s="21" t="s">
        <v>1442</v>
      </c>
      <c r="C23" s="9"/>
      <c r="D23" s="9"/>
      <c r="E23" s="9">
        <v>1</v>
      </c>
    </row>
    <row r="24" ht="15.2" spans="1:5">
      <c r="A24" s="23" t="s">
        <v>161</v>
      </c>
      <c r="B24" s="21" t="s">
        <v>1443</v>
      </c>
      <c r="C24" s="9"/>
      <c r="D24" s="9"/>
      <c r="E24" s="9">
        <v>0</v>
      </c>
    </row>
    <row r="25" ht="15.2" spans="1:5">
      <c r="A25" s="23" t="s">
        <v>1444</v>
      </c>
      <c r="B25" s="21" t="s">
        <v>1445</v>
      </c>
      <c r="C25" s="9"/>
      <c r="D25" s="9"/>
      <c r="E25" s="9">
        <v>1</v>
      </c>
    </row>
    <row r="26" ht="15.2" spans="1:5">
      <c r="A26" s="20" t="s">
        <v>163</v>
      </c>
      <c r="B26" s="21" t="s">
        <v>1446</v>
      </c>
      <c r="C26" s="22"/>
      <c r="D26" s="22"/>
      <c r="E26" s="9">
        <v>0</v>
      </c>
    </row>
    <row r="27" ht="15.2" spans="1:5">
      <c r="A27" s="23" t="s">
        <v>1447</v>
      </c>
      <c r="B27" s="21" t="s">
        <v>1448</v>
      </c>
      <c r="C27" s="9"/>
      <c r="D27" s="9"/>
      <c r="E27" s="9">
        <v>1</v>
      </c>
    </row>
    <row r="28" ht="15.2" spans="1:5">
      <c r="A28" s="23" t="s">
        <v>1449</v>
      </c>
      <c r="B28" s="21" t="s">
        <v>1450</v>
      </c>
      <c r="C28" s="9"/>
      <c r="D28" s="9"/>
      <c r="E28" s="9">
        <v>1</v>
      </c>
    </row>
    <row r="29" ht="15.2" spans="1:5">
      <c r="A29" s="23" t="s">
        <v>1451</v>
      </c>
      <c r="B29" s="21" t="s">
        <v>1452</v>
      </c>
      <c r="C29" s="9"/>
      <c r="D29" s="9"/>
      <c r="E29" s="9">
        <v>1</v>
      </c>
    </row>
    <row r="30" ht="15.2" spans="1:5">
      <c r="A30" s="23" t="s">
        <v>1453</v>
      </c>
      <c r="B30" s="21" t="s">
        <v>1454</v>
      </c>
      <c r="C30" s="9"/>
      <c r="D30" s="9"/>
      <c r="E30" s="9">
        <v>1</v>
      </c>
    </row>
    <row r="31" ht="15.2" spans="1:5">
      <c r="A31" s="23" t="s">
        <v>1455</v>
      </c>
      <c r="B31" s="21" t="s">
        <v>1456</v>
      </c>
      <c r="C31" s="9"/>
      <c r="D31" s="9"/>
      <c r="E31" s="9">
        <v>1</v>
      </c>
    </row>
    <row r="32" ht="15.2" spans="1:5">
      <c r="A32" s="20" t="s">
        <v>169</v>
      </c>
      <c r="B32" s="21" t="s">
        <v>1457</v>
      </c>
      <c r="C32" s="22"/>
      <c r="D32" s="22"/>
      <c r="E32" s="9">
        <v>0</v>
      </c>
    </row>
    <row r="33" ht="15.2" spans="1:5">
      <c r="A33" s="23" t="s">
        <v>1458</v>
      </c>
      <c r="B33" s="21" t="s">
        <v>1459</v>
      </c>
      <c r="C33" s="9"/>
      <c r="D33" s="9"/>
      <c r="E33" s="9">
        <v>1</v>
      </c>
    </row>
    <row r="34" ht="15.2" spans="1:5">
      <c r="A34" s="23" t="s">
        <v>1460</v>
      </c>
      <c r="B34" s="21" t="s">
        <v>1461</v>
      </c>
      <c r="C34" s="9"/>
      <c r="D34" s="9"/>
      <c r="E34" s="9">
        <v>1</v>
      </c>
    </row>
    <row r="35" ht="15.2" spans="1:5">
      <c r="A35" s="23" t="s">
        <v>1462</v>
      </c>
      <c r="B35" s="21" t="s">
        <v>1463</v>
      </c>
      <c r="C35" s="9"/>
      <c r="D35" s="9"/>
      <c r="E35" s="9">
        <v>1</v>
      </c>
    </row>
    <row r="36" ht="15.2" spans="1:5">
      <c r="A36" s="23" t="s">
        <v>1464</v>
      </c>
      <c r="B36" s="21" t="s">
        <v>1465</v>
      </c>
      <c r="C36" s="9"/>
      <c r="D36" s="9"/>
      <c r="E36" s="9">
        <v>1</v>
      </c>
    </row>
    <row r="37" ht="15.2" spans="1:5">
      <c r="A37" s="23" t="s">
        <v>1466</v>
      </c>
      <c r="B37" s="21" t="s">
        <v>1467</v>
      </c>
      <c r="C37" s="9"/>
      <c r="D37" s="9"/>
      <c r="E37" s="9">
        <v>1</v>
      </c>
    </row>
    <row r="38" ht="15.2" spans="1:5">
      <c r="A38" s="23" t="s">
        <v>175</v>
      </c>
      <c r="B38" s="21" t="s">
        <v>1468</v>
      </c>
      <c r="C38" s="9"/>
      <c r="D38" s="9"/>
      <c r="E38" s="9">
        <v>0</v>
      </c>
    </row>
    <row r="39" ht="15.2" spans="1:5">
      <c r="A39" s="23" t="s">
        <v>1469</v>
      </c>
      <c r="B39" s="21" t="s">
        <v>1470</v>
      </c>
      <c r="C39" s="9"/>
      <c r="D39" s="9"/>
      <c r="E39" s="9">
        <v>1</v>
      </c>
    </row>
    <row r="40" ht="15.2" spans="1:5">
      <c r="A40" s="23" t="s">
        <v>177</v>
      </c>
      <c r="B40" s="21" t="s">
        <v>1471</v>
      </c>
      <c r="C40" s="9"/>
      <c r="D40" s="9"/>
      <c r="E40" s="9" t="s">
        <v>1472</v>
      </c>
    </row>
    <row r="41" ht="15.2" spans="1:5">
      <c r="A41" s="23" t="s">
        <v>1473</v>
      </c>
      <c r="B41" s="21" t="s">
        <v>1474</v>
      </c>
      <c r="C41" s="9"/>
      <c r="D41" s="9"/>
      <c r="E41" s="9">
        <v>1</v>
      </c>
    </row>
    <row r="42" ht="15.2" spans="1:5">
      <c r="A42" s="23" t="s">
        <v>1475</v>
      </c>
      <c r="B42" s="21" t="s">
        <v>1476</v>
      </c>
      <c r="C42" s="9"/>
      <c r="D42" s="9"/>
      <c r="E42" s="9">
        <v>1</v>
      </c>
    </row>
    <row r="43" ht="15.2" spans="1:5">
      <c r="A43" s="23" t="s">
        <v>180</v>
      </c>
      <c r="B43" s="21" t="s">
        <v>1477</v>
      </c>
      <c r="C43" s="9"/>
      <c r="D43" s="9"/>
      <c r="E43" s="9">
        <v>0</v>
      </c>
    </row>
    <row r="44" ht="15.2" spans="1:5">
      <c r="A44" s="23" t="s">
        <v>181</v>
      </c>
      <c r="B44" s="21" t="s">
        <v>1478</v>
      </c>
      <c r="C44" s="9"/>
      <c r="D44" s="9"/>
      <c r="E44" s="9">
        <v>0</v>
      </c>
    </row>
    <row r="45" ht="15.2" spans="1:5">
      <c r="A45" s="23" t="s">
        <v>182</v>
      </c>
      <c r="B45" s="21" t="s">
        <v>1479</v>
      </c>
      <c r="C45" s="9"/>
      <c r="D45" s="9"/>
      <c r="E45" s="9">
        <v>0</v>
      </c>
    </row>
    <row r="46" ht="15.2" spans="1:5">
      <c r="A46" s="23" t="s">
        <v>183</v>
      </c>
      <c r="B46" s="21" t="s">
        <v>1480</v>
      </c>
      <c r="C46" s="9"/>
      <c r="D46" s="9"/>
      <c r="E46" s="9">
        <v>0</v>
      </c>
    </row>
    <row r="47" ht="15.2" spans="1:5">
      <c r="A47" s="23" t="s">
        <v>184</v>
      </c>
      <c r="B47" s="21" t="s">
        <v>1481</v>
      </c>
      <c r="C47" s="9"/>
      <c r="D47" s="9"/>
      <c r="E47" s="9">
        <v>0</v>
      </c>
    </row>
    <row r="48" ht="15.2" spans="1:5">
      <c r="A48" s="23" t="s">
        <v>1482</v>
      </c>
      <c r="B48" s="21" t="s">
        <v>1483</v>
      </c>
      <c r="C48" s="9"/>
      <c r="D48" s="9"/>
      <c r="E48" s="9">
        <v>1</v>
      </c>
    </row>
    <row r="49" ht="15.2" spans="1:5">
      <c r="A49" s="23" t="s">
        <v>1484</v>
      </c>
      <c r="B49" s="21" t="s">
        <v>1485</v>
      </c>
      <c r="C49" s="9"/>
      <c r="D49" s="9"/>
      <c r="E49" s="9">
        <v>1</v>
      </c>
    </row>
    <row r="50" ht="15.2" spans="1:5">
      <c r="A50" s="20" t="s">
        <v>187</v>
      </c>
      <c r="B50" s="21" t="s">
        <v>1486</v>
      </c>
      <c r="C50" s="22"/>
      <c r="D50" s="22"/>
      <c r="E50" s="9">
        <v>0</v>
      </c>
    </row>
    <row r="51" ht="15.2" spans="1:5">
      <c r="A51" s="23" t="s">
        <v>1487</v>
      </c>
      <c r="B51" s="21" t="s">
        <v>1488</v>
      </c>
      <c r="C51" s="9"/>
      <c r="D51" s="9"/>
      <c r="E51" s="9">
        <v>1</v>
      </c>
    </row>
    <row r="52" ht="15.2" spans="1:5">
      <c r="A52" s="23" t="s">
        <v>1489</v>
      </c>
      <c r="B52" s="21" t="s">
        <v>1490</v>
      </c>
      <c r="C52" s="9"/>
      <c r="D52" s="9"/>
      <c r="E52" s="9">
        <v>1</v>
      </c>
    </row>
    <row r="53" ht="15.2" spans="1:5">
      <c r="A53" s="23" t="s">
        <v>1491</v>
      </c>
      <c r="B53" s="21" t="s">
        <v>1492</v>
      </c>
      <c r="C53" s="9"/>
      <c r="D53" s="9"/>
      <c r="E53" s="9">
        <v>1</v>
      </c>
    </row>
  </sheetData>
  <sheetProtection password="C616" sheet="1" objects="1" scenarios="1"/>
  <pageMargins left="0.699305555555556" right="0.699305555555556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AE91"/>
  <sheetViews>
    <sheetView topLeftCell="P1" workbookViewId="0">
      <selection activeCell="U13" sqref="U13"/>
    </sheetView>
  </sheetViews>
  <sheetFormatPr defaultColWidth="8.8359375" defaultRowHeight="14"/>
  <cols>
    <col min="1" max="1" width="15" customWidth="1"/>
    <col min="2" max="2" width="9.6640625" customWidth="1"/>
    <col min="3" max="3" width="12.1640625" customWidth="1"/>
    <col min="4" max="6" width="24.1640625" customWidth="1"/>
    <col min="7" max="7" width="20.6640625" customWidth="1"/>
    <col min="8" max="8" width="23.6640625" customWidth="1"/>
    <col min="9" max="9" width="41.1640625" customWidth="1"/>
    <col min="10" max="10" width="23.5" customWidth="1"/>
    <col min="11" max="11" width="22.3359375" customWidth="1"/>
    <col min="12" max="12" width="9" customWidth="1"/>
    <col min="13" max="13" width="21.6640625" customWidth="1"/>
    <col min="14" max="14" width="14.6640625" customWidth="1"/>
    <col min="15" max="15" width="30.6640625" customWidth="1"/>
    <col min="16" max="17" width="16.6640625" customWidth="1"/>
    <col min="18" max="18" width="13.8359375" customWidth="1"/>
    <col min="19" max="19" width="18.8359375" customWidth="1"/>
    <col min="20" max="20" width="19.8359375" customWidth="1"/>
    <col min="21" max="21" width="33" customWidth="1"/>
    <col min="24" max="24" width="35" customWidth="1"/>
  </cols>
  <sheetData>
    <row r="1" s="15" customFormat="1" ht="30" customHeight="1" spans="1:31">
      <c r="A1" s="16" t="s">
        <v>1493</v>
      </c>
      <c r="B1" s="16" t="s">
        <v>1494</v>
      </c>
      <c r="C1" s="16"/>
      <c r="D1" s="16" t="s">
        <v>1495</v>
      </c>
      <c r="E1" s="16" t="s">
        <v>1496</v>
      </c>
      <c r="F1" s="16"/>
      <c r="G1" s="16" t="s">
        <v>1497</v>
      </c>
      <c r="H1" s="16" t="s">
        <v>1498</v>
      </c>
      <c r="I1" s="16" t="s">
        <v>1499</v>
      </c>
      <c r="J1" s="16" t="s">
        <v>1500</v>
      </c>
      <c r="K1" s="16" t="s">
        <v>1501</v>
      </c>
      <c r="L1" s="16" t="s">
        <v>1502</v>
      </c>
      <c r="M1" s="16" t="s">
        <v>1503</v>
      </c>
      <c r="N1" s="16" t="s">
        <v>1504</v>
      </c>
      <c r="O1" s="16" t="s">
        <v>1505</v>
      </c>
      <c r="P1" s="16" t="s">
        <v>1506</v>
      </c>
      <c r="Q1" s="16" t="s">
        <v>1507</v>
      </c>
      <c r="R1" s="16" t="s">
        <v>1508</v>
      </c>
      <c r="S1" s="16" t="s">
        <v>1509</v>
      </c>
      <c r="T1" s="16" t="s">
        <v>1510</v>
      </c>
      <c r="U1" s="16" t="s">
        <v>1511</v>
      </c>
      <c r="V1" s="16" t="s">
        <v>1512</v>
      </c>
      <c r="W1" s="16" t="s">
        <v>1513</v>
      </c>
      <c r="X1" s="16" t="s">
        <v>1514</v>
      </c>
      <c r="Y1" s="16" t="s">
        <v>1515</v>
      </c>
      <c r="Z1" s="16"/>
      <c r="AA1" s="16"/>
      <c r="AB1" s="16"/>
      <c r="AC1" s="16"/>
      <c r="AD1" s="16"/>
      <c r="AE1" s="16"/>
    </row>
    <row r="2" ht="17.6" spans="1:31">
      <c r="A2" s="17" t="s">
        <v>1516</v>
      </c>
      <c r="B2" s="17" t="s">
        <v>1517</v>
      </c>
      <c r="C2" s="17"/>
      <c r="D2" s="17" t="s">
        <v>1518</v>
      </c>
      <c r="E2" s="17" t="s">
        <v>1519</v>
      </c>
      <c r="F2" s="17"/>
      <c r="G2" s="17" t="s">
        <v>1518</v>
      </c>
      <c r="H2" s="17" t="s">
        <v>1520</v>
      </c>
      <c r="I2" s="17" t="s">
        <v>1521</v>
      </c>
      <c r="J2" s="17" t="s">
        <v>1522</v>
      </c>
      <c r="K2" s="17" t="s">
        <v>1523</v>
      </c>
      <c r="L2" s="17" t="s">
        <v>1524</v>
      </c>
      <c r="M2" s="17" t="s">
        <v>1525</v>
      </c>
      <c r="N2" s="17" t="s">
        <v>1526</v>
      </c>
      <c r="O2" s="18" t="s">
        <v>1527</v>
      </c>
      <c r="P2" s="17" t="s">
        <v>1528</v>
      </c>
      <c r="Q2" s="17" t="s">
        <v>1529</v>
      </c>
      <c r="R2" s="17" t="s">
        <v>1530</v>
      </c>
      <c r="S2" s="17" t="s">
        <v>1531</v>
      </c>
      <c r="T2" s="17" t="s">
        <v>1532</v>
      </c>
      <c r="U2" s="17" t="s">
        <v>1533</v>
      </c>
      <c r="V2" s="17" t="s">
        <v>1534</v>
      </c>
      <c r="W2" s="17" t="s">
        <v>1535</v>
      </c>
      <c r="X2" s="17" t="s">
        <v>1536</v>
      </c>
      <c r="Y2" s="17" t="s">
        <v>1537</v>
      </c>
      <c r="Z2" s="17"/>
      <c r="AA2" s="17"/>
      <c r="AB2" s="17"/>
      <c r="AC2" s="17"/>
      <c r="AD2" s="17"/>
      <c r="AE2" s="17"/>
    </row>
    <row r="3" ht="17.6" spans="1:31">
      <c r="A3" s="17" t="s">
        <v>1538</v>
      </c>
      <c r="B3" s="17" t="s">
        <v>1539</v>
      </c>
      <c r="C3" s="17"/>
      <c r="D3" s="17" t="s">
        <v>1540</v>
      </c>
      <c r="E3" s="17" t="s">
        <v>1541</v>
      </c>
      <c r="F3" s="17"/>
      <c r="G3" s="17" t="s">
        <v>1540</v>
      </c>
      <c r="H3" s="17" t="s">
        <v>1542</v>
      </c>
      <c r="I3" s="18" t="s">
        <v>1543</v>
      </c>
      <c r="J3" s="17" t="s">
        <v>1544</v>
      </c>
      <c r="K3" s="17" t="s">
        <v>1545</v>
      </c>
      <c r="L3" s="18" t="s">
        <v>1546</v>
      </c>
      <c r="M3" s="17" t="s">
        <v>1547</v>
      </c>
      <c r="N3" s="17" t="s">
        <v>1548</v>
      </c>
      <c r="O3" s="18" t="s">
        <v>1549</v>
      </c>
      <c r="P3" s="17" t="s">
        <v>1550</v>
      </c>
      <c r="Q3" s="17"/>
      <c r="R3" s="17" t="s">
        <v>1551</v>
      </c>
      <c r="S3" s="17" t="s">
        <v>1552</v>
      </c>
      <c r="T3" s="17" t="s">
        <v>1553</v>
      </c>
      <c r="U3" s="17" t="s">
        <v>1554</v>
      </c>
      <c r="V3" s="17"/>
      <c r="W3" s="17" t="s">
        <v>1555</v>
      </c>
      <c r="X3" s="17" t="s">
        <v>1556</v>
      </c>
      <c r="Y3" s="17"/>
      <c r="Z3" s="17"/>
      <c r="AA3" s="18"/>
      <c r="AB3" s="18"/>
      <c r="AC3" s="18"/>
      <c r="AD3" s="18"/>
      <c r="AE3" s="17"/>
    </row>
    <row r="4" ht="17.6" spans="1:31">
      <c r="A4" s="17" t="s">
        <v>1557</v>
      </c>
      <c r="B4" s="17" t="s">
        <v>1558</v>
      </c>
      <c r="C4" s="17"/>
      <c r="D4" s="17" t="s">
        <v>1559</v>
      </c>
      <c r="E4" s="17" t="s">
        <v>1560</v>
      </c>
      <c r="F4" s="17"/>
      <c r="G4" s="17" t="s">
        <v>1559</v>
      </c>
      <c r="H4" s="17" t="s">
        <v>1561</v>
      </c>
      <c r="I4" s="18" t="s">
        <v>1562</v>
      </c>
      <c r="J4" s="17" t="s">
        <v>1563</v>
      </c>
      <c r="K4" s="18" t="s">
        <v>1564</v>
      </c>
      <c r="L4" s="18"/>
      <c r="M4" s="18" t="s">
        <v>1565</v>
      </c>
      <c r="N4" s="17"/>
      <c r="O4" s="18" t="s">
        <v>1566</v>
      </c>
      <c r="P4" s="17" t="s">
        <v>1567</v>
      </c>
      <c r="Q4" s="17"/>
      <c r="R4" s="18"/>
      <c r="S4" s="17" t="s">
        <v>1568</v>
      </c>
      <c r="T4" s="17" t="s">
        <v>1569</v>
      </c>
      <c r="U4" s="17" t="s">
        <v>1570</v>
      </c>
      <c r="V4" s="18"/>
      <c r="W4" s="18"/>
      <c r="X4" s="18" t="s">
        <v>1571</v>
      </c>
      <c r="Y4" s="17"/>
      <c r="Z4" s="17"/>
      <c r="AA4" s="18"/>
      <c r="AB4" s="18"/>
      <c r="AC4" s="18"/>
      <c r="AD4" s="18"/>
      <c r="AE4" s="17"/>
    </row>
    <row r="5" ht="17.6" spans="1:31">
      <c r="A5" s="17" t="s">
        <v>1572</v>
      </c>
      <c r="B5" s="17" t="s">
        <v>1573</v>
      </c>
      <c r="C5" s="17"/>
      <c r="D5" s="17" t="s">
        <v>1574</v>
      </c>
      <c r="E5" s="17" t="s">
        <v>1575</v>
      </c>
      <c r="F5" s="17"/>
      <c r="G5" s="17" t="s">
        <v>1574</v>
      </c>
      <c r="H5" s="17" t="s">
        <v>1576</v>
      </c>
      <c r="I5" s="18" t="s">
        <v>1577</v>
      </c>
      <c r="J5" s="18"/>
      <c r="K5" s="18" t="s">
        <v>1578</v>
      </c>
      <c r="L5" s="18"/>
      <c r="M5" s="18" t="s">
        <v>1579</v>
      </c>
      <c r="N5" s="18"/>
      <c r="O5" s="18"/>
      <c r="P5" s="17" t="s">
        <v>1580</v>
      </c>
      <c r="Q5" s="17"/>
      <c r="R5" s="18"/>
      <c r="S5" s="17"/>
      <c r="T5" s="17"/>
      <c r="U5" s="18"/>
      <c r="V5" s="18"/>
      <c r="W5" s="18"/>
      <c r="X5" s="18" t="s">
        <v>1581</v>
      </c>
      <c r="Y5" s="17"/>
      <c r="Z5" s="17"/>
      <c r="AA5" s="18"/>
      <c r="AB5" s="18"/>
      <c r="AC5" s="18"/>
      <c r="AD5" s="18"/>
      <c r="AE5" s="17"/>
    </row>
    <row r="6" ht="17.6" spans="1:31">
      <c r="A6" s="17" t="s">
        <v>1582</v>
      </c>
      <c r="B6" s="17" t="s">
        <v>1583</v>
      </c>
      <c r="C6" s="17"/>
      <c r="D6" s="17" t="s">
        <v>1584</v>
      </c>
      <c r="E6" s="17" t="s">
        <v>1585</v>
      </c>
      <c r="F6" s="17"/>
      <c r="G6" s="17" t="s">
        <v>1584</v>
      </c>
      <c r="H6" s="18" t="s">
        <v>1586</v>
      </c>
      <c r="I6" s="18" t="s">
        <v>1587</v>
      </c>
      <c r="J6" s="18"/>
      <c r="K6" s="18"/>
      <c r="L6" s="18"/>
      <c r="M6" s="18" t="s">
        <v>1588</v>
      </c>
      <c r="N6" s="18"/>
      <c r="O6" s="18"/>
      <c r="P6" s="17"/>
      <c r="Q6" s="17"/>
      <c r="R6" s="18"/>
      <c r="S6" s="17"/>
      <c r="T6" s="18"/>
      <c r="U6" s="18"/>
      <c r="V6" s="18"/>
      <c r="W6" s="18"/>
      <c r="X6" s="18" t="s">
        <v>1589</v>
      </c>
      <c r="Y6" s="17"/>
      <c r="Z6" s="17"/>
      <c r="AA6" s="18"/>
      <c r="AB6" s="18"/>
      <c r="AC6" s="18"/>
      <c r="AD6" s="18"/>
      <c r="AE6" s="17"/>
    </row>
    <row r="7" ht="17.6" spans="1:31">
      <c r="A7" s="17" t="s">
        <v>1590</v>
      </c>
      <c r="B7" s="17" t="s">
        <v>1591</v>
      </c>
      <c r="C7" s="18"/>
      <c r="D7" s="17" t="s">
        <v>1520</v>
      </c>
      <c r="E7" s="17" t="s">
        <v>1592</v>
      </c>
      <c r="F7" s="18"/>
      <c r="G7" s="17"/>
      <c r="H7" s="18" t="s">
        <v>1593</v>
      </c>
      <c r="I7" s="18" t="s">
        <v>1594</v>
      </c>
      <c r="J7" s="18"/>
      <c r="K7" s="18"/>
      <c r="L7" s="18"/>
      <c r="M7" s="18" t="s">
        <v>1595</v>
      </c>
      <c r="N7" s="18"/>
      <c r="O7" s="18"/>
      <c r="P7" s="17"/>
      <c r="Q7" s="17"/>
      <c r="R7" s="18"/>
      <c r="S7" s="17"/>
      <c r="T7" s="18"/>
      <c r="U7" s="18"/>
      <c r="V7" s="18"/>
      <c r="W7" s="18"/>
      <c r="X7" s="18"/>
      <c r="Y7" s="17"/>
      <c r="Z7" s="17"/>
      <c r="AA7" s="18"/>
      <c r="AB7" s="18"/>
      <c r="AC7" s="18"/>
      <c r="AD7" s="18"/>
      <c r="AE7" s="17"/>
    </row>
    <row r="8" ht="17.6" spans="1:31">
      <c r="A8" s="17" t="s">
        <v>1596</v>
      </c>
      <c r="B8" s="17" t="s">
        <v>1597</v>
      </c>
      <c r="C8" s="18"/>
      <c r="D8" s="17" t="s">
        <v>1542</v>
      </c>
      <c r="E8" s="17" t="s">
        <v>1598</v>
      </c>
      <c r="F8" s="18"/>
      <c r="G8" s="17"/>
      <c r="H8" s="18" t="s">
        <v>1599</v>
      </c>
      <c r="I8" s="18" t="s">
        <v>1600</v>
      </c>
      <c r="J8" s="18"/>
      <c r="K8" s="18"/>
      <c r="L8" s="18"/>
      <c r="M8" s="18" t="s">
        <v>1601</v>
      </c>
      <c r="N8" s="18"/>
      <c r="O8" s="18"/>
      <c r="P8" s="17"/>
      <c r="Q8" s="18"/>
      <c r="R8" s="18"/>
      <c r="S8" s="17"/>
      <c r="T8" s="18"/>
      <c r="U8" s="18"/>
      <c r="V8" s="18"/>
      <c r="W8" s="18"/>
      <c r="X8" s="18"/>
      <c r="Y8" s="17"/>
      <c r="Z8" s="18"/>
      <c r="AA8" s="18"/>
      <c r="AB8" s="18"/>
      <c r="AC8" s="18"/>
      <c r="AD8" s="18"/>
      <c r="AE8" s="17"/>
    </row>
    <row r="9" ht="17.6" spans="1:31">
      <c r="A9" s="17" t="s">
        <v>1602</v>
      </c>
      <c r="B9" s="17" t="s">
        <v>1603</v>
      </c>
      <c r="C9" s="18"/>
      <c r="D9" s="17" t="s">
        <v>1561</v>
      </c>
      <c r="E9" s="17" t="s">
        <v>1604</v>
      </c>
      <c r="F9" s="18"/>
      <c r="G9" s="18"/>
      <c r="H9" s="18"/>
      <c r="I9" s="18" t="s">
        <v>1605</v>
      </c>
      <c r="J9" s="18"/>
      <c r="K9" s="18"/>
      <c r="L9" s="18"/>
      <c r="M9" s="18" t="s">
        <v>1606</v>
      </c>
      <c r="N9" s="18"/>
      <c r="O9" s="18"/>
      <c r="P9" s="17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7"/>
    </row>
    <row r="10" ht="17.6" spans="1:31">
      <c r="A10" s="17" t="s">
        <v>1607</v>
      </c>
      <c r="B10" s="17" t="s">
        <v>1608</v>
      </c>
      <c r="C10" s="18"/>
      <c r="D10" s="17" t="s">
        <v>1576</v>
      </c>
      <c r="E10" s="17" t="s">
        <v>1609</v>
      </c>
      <c r="F10" s="18"/>
      <c r="G10" s="18"/>
      <c r="H10" s="18"/>
      <c r="I10" s="18" t="s">
        <v>1610</v>
      </c>
      <c r="J10" s="18"/>
      <c r="K10" s="18"/>
      <c r="L10" s="18"/>
      <c r="M10" s="18"/>
      <c r="N10" s="18"/>
      <c r="O10" s="18"/>
      <c r="P10" s="17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</row>
    <row r="11" ht="17.6" spans="1:31">
      <c r="A11" s="17" t="s">
        <v>1611</v>
      </c>
      <c r="B11" s="17" t="s">
        <v>1612</v>
      </c>
      <c r="C11" s="18"/>
      <c r="D11" s="18" t="s">
        <v>1586</v>
      </c>
      <c r="E11" s="17" t="s">
        <v>1613</v>
      </c>
      <c r="F11" s="18"/>
      <c r="G11" s="18"/>
      <c r="H11" s="18"/>
      <c r="I11" s="18" t="s">
        <v>1614</v>
      </c>
      <c r="J11" s="18"/>
      <c r="K11" s="18"/>
      <c r="L11" s="18"/>
      <c r="M11" s="18"/>
      <c r="N11" s="18"/>
      <c r="O11" s="18"/>
      <c r="P11" s="17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</row>
    <row r="12" ht="17.6" spans="1:31">
      <c r="A12" s="17" t="s">
        <v>1615</v>
      </c>
      <c r="B12" s="17" t="s">
        <v>1616</v>
      </c>
      <c r="C12" s="18"/>
      <c r="D12" s="18" t="s">
        <v>1593</v>
      </c>
      <c r="E12" s="17" t="s">
        <v>1617</v>
      </c>
      <c r="F12" s="18"/>
      <c r="G12" s="18"/>
      <c r="H12" s="18"/>
      <c r="I12" s="18" t="s">
        <v>1618</v>
      </c>
      <c r="J12" s="18"/>
      <c r="K12" s="18"/>
      <c r="L12" s="18"/>
      <c r="M12" s="18"/>
      <c r="N12" s="18"/>
      <c r="O12" s="18"/>
      <c r="P12" s="17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</row>
    <row r="13" ht="17.6" spans="1:31">
      <c r="A13" s="17" t="s">
        <v>1619</v>
      </c>
      <c r="B13" s="17" t="s">
        <v>1620</v>
      </c>
      <c r="C13" s="18"/>
      <c r="D13" s="18" t="s">
        <v>1599</v>
      </c>
      <c r="E13" s="17" t="s">
        <v>1621</v>
      </c>
      <c r="F13" s="18"/>
      <c r="G13" s="18"/>
      <c r="H13" s="18"/>
      <c r="I13" s="18" t="s">
        <v>1622</v>
      </c>
      <c r="J13" s="18"/>
      <c r="K13" s="18"/>
      <c r="L13" s="18"/>
      <c r="M13" s="18"/>
      <c r="N13" s="18"/>
      <c r="O13" s="18"/>
      <c r="P13" s="17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</row>
    <row r="14" ht="17.6" spans="1:31">
      <c r="A14" s="17" t="s">
        <v>1623</v>
      </c>
      <c r="B14" s="17" t="s">
        <v>1624</v>
      </c>
      <c r="C14" s="18"/>
      <c r="D14" s="17" t="s">
        <v>1521</v>
      </c>
      <c r="E14" s="17" t="s">
        <v>1625</v>
      </c>
      <c r="F14" s="18"/>
      <c r="G14" s="18"/>
      <c r="H14" s="18"/>
      <c r="I14" s="18" t="s">
        <v>1626</v>
      </c>
      <c r="J14" s="18"/>
      <c r="K14" s="18"/>
      <c r="L14" s="18"/>
      <c r="M14" s="18"/>
      <c r="N14" s="18"/>
      <c r="O14" s="18"/>
      <c r="P14" s="17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</row>
    <row r="15" ht="17.6" spans="1:31">
      <c r="A15" s="17" t="s">
        <v>1627</v>
      </c>
      <c r="B15" s="17" t="s">
        <v>1628</v>
      </c>
      <c r="C15" s="18"/>
      <c r="D15" s="18" t="s">
        <v>1543</v>
      </c>
      <c r="E15" s="17" t="s">
        <v>1629</v>
      </c>
      <c r="F15" s="18"/>
      <c r="G15" s="18"/>
      <c r="H15" s="18"/>
      <c r="I15" s="18" t="s">
        <v>1630</v>
      </c>
      <c r="J15" s="18"/>
      <c r="K15" s="18"/>
      <c r="L15" s="18"/>
      <c r="M15" s="18"/>
      <c r="N15" s="18"/>
      <c r="O15" s="18"/>
      <c r="P15" s="17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</row>
    <row r="16" ht="17.6" spans="1:16">
      <c r="A16" s="17" t="s">
        <v>1631</v>
      </c>
      <c r="B16" s="17" t="s">
        <v>1632</v>
      </c>
      <c r="C16" s="18"/>
      <c r="D16" s="18" t="s">
        <v>1562</v>
      </c>
      <c r="E16" s="17" t="s">
        <v>1633</v>
      </c>
      <c r="F16" s="18"/>
      <c r="G16" s="18"/>
      <c r="H16" s="18"/>
      <c r="I16" s="18" t="s">
        <v>1634</v>
      </c>
      <c r="J16" s="18"/>
      <c r="K16" s="18"/>
      <c r="L16" s="18"/>
      <c r="M16" s="18"/>
      <c r="N16" s="18"/>
      <c r="O16" s="18"/>
      <c r="P16" s="17"/>
    </row>
    <row r="17" ht="17.6" spans="1:16">
      <c r="A17" s="17" t="s">
        <v>1534</v>
      </c>
      <c r="B17" s="17" t="s">
        <v>1635</v>
      </c>
      <c r="C17" s="18"/>
      <c r="D17" s="18" t="s">
        <v>1577</v>
      </c>
      <c r="E17" s="17" t="s">
        <v>1636</v>
      </c>
      <c r="F17" s="18"/>
      <c r="G17" s="18"/>
      <c r="H17" s="18"/>
      <c r="I17" s="18" t="s">
        <v>1637</v>
      </c>
      <c r="J17" s="18"/>
      <c r="K17" s="18"/>
      <c r="L17" s="18"/>
      <c r="M17" s="18"/>
      <c r="N17" s="18"/>
      <c r="O17" s="18"/>
      <c r="P17" s="17"/>
    </row>
    <row r="18" ht="17.6" spans="1:16">
      <c r="A18" s="17" t="s">
        <v>1535</v>
      </c>
      <c r="B18" s="17" t="s">
        <v>1638</v>
      </c>
      <c r="C18" s="18"/>
      <c r="D18" s="18" t="s">
        <v>1587</v>
      </c>
      <c r="E18" s="17" t="s">
        <v>1639</v>
      </c>
      <c r="F18" s="18"/>
      <c r="G18" s="18"/>
      <c r="H18" s="18"/>
      <c r="I18" s="18" t="s">
        <v>1640</v>
      </c>
      <c r="J18" s="18"/>
      <c r="K18" s="18"/>
      <c r="L18" s="18"/>
      <c r="M18" s="18"/>
      <c r="N18" s="18"/>
      <c r="O18" s="18"/>
      <c r="P18" s="17"/>
    </row>
    <row r="19" ht="17.6" spans="1:16">
      <c r="A19" s="17" t="s">
        <v>1641</v>
      </c>
      <c r="B19" s="17" t="s">
        <v>1642</v>
      </c>
      <c r="C19" s="18"/>
      <c r="D19" s="18" t="s">
        <v>1594</v>
      </c>
      <c r="E19" s="17" t="s">
        <v>1643</v>
      </c>
      <c r="F19" s="18"/>
      <c r="G19" s="18"/>
      <c r="H19" s="18"/>
      <c r="I19" s="18" t="s">
        <v>1644</v>
      </c>
      <c r="J19" s="18"/>
      <c r="K19" s="18"/>
      <c r="L19" s="18"/>
      <c r="M19" s="18"/>
      <c r="N19" s="18"/>
      <c r="O19" s="18"/>
      <c r="P19" s="17"/>
    </row>
    <row r="20" ht="17.6" spans="1:16">
      <c r="A20" s="17" t="s">
        <v>1537</v>
      </c>
      <c r="B20" s="17" t="s">
        <v>1645</v>
      </c>
      <c r="C20" s="18"/>
      <c r="D20" s="18" t="s">
        <v>1600</v>
      </c>
      <c r="E20" s="17" t="s">
        <v>1646</v>
      </c>
      <c r="F20" s="18"/>
      <c r="G20" s="18"/>
      <c r="H20" s="18"/>
      <c r="I20" s="18" t="s">
        <v>1647</v>
      </c>
      <c r="J20" s="18"/>
      <c r="K20" s="18"/>
      <c r="L20" s="18"/>
      <c r="M20" s="18"/>
      <c r="N20" s="18"/>
      <c r="O20" s="18"/>
      <c r="P20" s="17"/>
    </row>
    <row r="21" ht="17.6" spans="1:16">
      <c r="A21" s="18"/>
      <c r="B21" s="18"/>
      <c r="C21" s="18"/>
      <c r="D21" s="18" t="s">
        <v>1605</v>
      </c>
      <c r="E21" s="17" t="s">
        <v>1648</v>
      </c>
      <c r="F21" s="18"/>
      <c r="G21" s="18"/>
      <c r="H21" s="18"/>
      <c r="I21" s="18" t="s">
        <v>1649</v>
      </c>
      <c r="J21" s="18"/>
      <c r="K21" s="18"/>
      <c r="L21" s="18"/>
      <c r="M21" s="18"/>
      <c r="N21" s="18"/>
      <c r="O21" s="18"/>
      <c r="P21" s="17"/>
    </row>
    <row r="22" ht="17.6" spans="1:16">
      <c r="A22" s="18"/>
      <c r="B22" s="18"/>
      <c r="C22" s="18"/>
      <c r="D22" s="18" t="s">
        <v>1610</v>
      </c>
      <c r="E22" s="17" t="s">
        <v>1650</v>
      </c>
      <c r="F22" s="18"/>
      <c r="G22" s="18"/>
      <c r="H22" s="18"/>
      <c r="I22" s="18" t="s">
        <v>1651</v>
      </c>
      <c r="J22" s="18"/>
      <c r="K22" s="18"/>
      <c r="L22" s="18"/>
      <c r="M22" s="18"/>
      <c r="N22" s="18"/>
      <c r="O22" s="18"/>
      <c r="P22" s="17"/>
    </row>
    <row r="23" ht="17.6" spans="1:16">
      <c r="A23" s="18"/>
      <c r="B23" s="18"/>
      <c r="C23" s="18"/>
      <c r="D23" s="18" t="s">
        <v>1614</v>
      </c>
      <c r="E23" s="17" t="s">
        <v>1652</v>
      </c>
      <c r="F23" s="18"/>
      <c r="G23" s="18"/>
      <c r="H23" s="18"/>
      <c r="I23" s="18" t="s">
        <v>1653</v>
      </c>
      <c r="J23" s="18"/>
      <c r="K23" s="18"/>
      <c r="L23" s="18"/>
      <c r="M23" s="18"/>
      <c r="N23" s="18"/>
      <c r="O23" s="18"/>
      <c r="P23" s="17"/>
    </row>
    <row r="24" ht="17.6" spans="1:16">
      <c r="A24" s="18"/>
      <c r="B24" s="18"/>
      <c r="C24" s="18"/>
      <c r="D24" s="18" t="s">
        <v>1618</v>
      </c>
      <c r="E24" s="17" t="s">
        <v>1654</v>
      </c>
      <c r="F24" s="18"/>
      <c r="G24" s="18"/>
      <c r="H24" s="18"/>
      <c r="I24" s="18" t="s">
        <v>1655</v>
      </c>
      <c r="J24" s="18"/>
      <c r="K24" s="18"/>
      <c r="L24" s="18"/>
      <c r="M24" s="18"/>
      <c r="N24" s="18"/>
      <c r="O24" s="18"/>
      <c r="P24" s="17"/>
    </row>
    <row r="25" ht="17.6" spans="1:16">
      <c r="A25" s="18"/>
      <c r="B25" s="18"/>
      <c r="C25" s="18"/>
      <c r="D25" s="18" t="s">
        <v>1622</v>
      </c>
      <c r="E25" s="17" t="s">
        <v>1656</v>
      </c>
      <c r="F25" s="18"/>
      <c r="G25" s="18"/>
      <c r="H25" s="18"/>
      <c r="I25" s="18" t="s">
        <v>1657</v>
      </c>
      <c r="J25" s="18"/>
      <c r="K25" s="18"/>
      <c r="L25" s="18"/>
      <c r="M25" s="18"/>
      <c r="N25" s="18"/>
      <c r="O25" s="18"/>
      <c r="P25" s="17"/>
    </row>
    <row r="26" ht="17.6" spans="1:16">
      <c r="A26" s="18"/>
      <c r="B26" s="18"/>
      <c r="C26" s="18"/>
      <c r="D26" s="18" t="s">
        <v>1626</v>
      </c>
      <c r="E26" s="17" t="s">
        <v>1658</v>
      </c>
      <c r="F26" s="18"/>
      <c r="G26" s="18"/>
      <c r="H26" s="18"/>
      <c r="I26" s="18" t="s">
        <v>1659</v>
      </c>
      <c r="J26" s="18"/>
      <c r="K26" s="18"/>
      <c r="L26" s="18"/>
      <c r="M26" s="18"/>
      <c r="N26" s="18"/>
      <c r="O26" s="18"/>
      <c r="P26" s="17"/>
    </row>
    <row r="27" ht="17.6" spans="1:16">
      <c r="A27" s="18"/>
      <c r="B27" s="18"/>
      <c r="C27" s="18"/>
      <c r="D27" s="18" t="s">
        <v>1630</v>
      </c>
      <c r="E27" s="17" t="s">
        <v>1660</v>
      </c>
      <c r="F27" s="18"/>
      <c r="G27" s="18"/>
      <c r="H27" s="18"/>
      <c r="I27" s="18" t="s">
        <v>1661</v>
      </c>
      <c r="J27" s="18"/>
      <c r="K27" s="18"/>
      <c r="L27" s="18"/>
      <c r="M27" s="18"/>
      <c r="N27" s="18"/>
      <c r="O27" s="18"/>
      <c r="P27" s="17"/>
    </row>
    <row r="28" ht="17.6" spans="1:16">
      <c r="A28" s="18"/>
      <c r="B28" s="18"/>
      <c r="C28" s="18"/>
      <c r="D28" s="18" t="s">
        <v>1634</v>
      </c>
      <c r="E28" s="17" t="s">
        <v>1662</v>
      </c>
      <c r="F28" s="18"/>
      <c r="G28" s="18"/>
      <c r="H28" s="18"/>
      <c r="I28" s="18" t="s">
        <v>1663</v>
      </c>
      <c r="J28" s="18"/>
      <c r="K28" s="18"/>
      <c r="L28" s="18"/>
      <c r="M28" s="18"/>
      <c r="N28" s="18"/>
      <c r="O28" s="18"/>
      <c r="P28" s="17"/>
    </row>
    <row r="29" ht="17.6" spans="1:16">
      <c r="A29" s="18"/>
      <c r="B29" s="18"/>
      <c r="C29" s="18"/>
      <c r="D29" s="18" t="s">
        <v>1637</v>
      </c>
      <c r="E29" s="17" t="s">
        <v>1664</v>
      </c>
      <c r="F29" s="18"/>
      <c r="G29" s="18"/>
      <c r="H29" s="18"/>
      <c r="I29" s="18" t="s">
        <v>1665</v>
      </c>
      <c r="J29" s="18"/>
      <c r="K29" s="18"/>
      <c r="L29" s="18"/>
      <c r="M29" s="18"/>
      <c r="N29" s="18"/>
      <c r="O29" s="18"/>
      <c r="P29" s="17"/>
    </row>
    <row r="30" ht="17.6" spans="1:16">
      <c r="A30" s="18"/>
      <c r="B30" s="18"/>
      <c r="C30" s="18"/>
      <c r="D30" s="18" t="s">
        <v>1640</v>
      </c>
      <c r="E30" s="17" t="s">
        <v>1666</v>
      </c>
      <c r="F30" s="18"/>
      <c r="G30" s="18"/>
      <c r="H30" s="18"/>
      <c r="I30" s="18" t="s">
        <v>1667</v>
      </c>
      <c r="J30" s="18"/>
      <c r="K30" s="18"/>
      <c r="L30" s="18"/>
      <c r="M30" s="17"/>
      <c r="N30" s="18"/>
      <c r="O30" s="18"/>
      <c r="P30" s="17"/>
    </row>
    <row r="31" ht="17.6" spans="1:16">
      <c r="A31" s="18"/>
      <c r="B31" s="18"/>
      <c r="C31" s="18"/>
      <c r="D31" s="18" t="s">
        <v>1644</v>
      </c>
      <c r="E31" s="17" t="s">
        <v>1668</v>
      </c>
      <c r="F31" s="18"/>
      <c r="G31" s="18"/>
      <c r="H31" s="18"/>
      <c r="I31" s="18" t="s">
        <v>1669</v>
      </c>
      <c r="J31" s="18"/>
      <c r="K31" s="18"/>
      <c r="L31" s="18"/>
      <c r="M31" s="17"/>
      <c r="N31" s="18"/>
      <c r="O31" s="18"/>
      <c r="P31" s="17"/>
    </row>
    <row r="32" ht="17.6" spans="4:13">
      <c r="D32" s="18" t="s">
        <v>1647</v>
      </c>
      <c r="E32" s="17" t="s">
        <v>1670</v>
      </c>
      <c r="I32" t="s">
        <v>1671</v>
      </c>
      <c r="M32" s="18"/>
    </row>
    <row r="33" ht="17.6" spans="4:13">
      <c r="D33" s="18" t="s">
        <v>1649</v>
      </c>
      <c r="E33" s="17" t="s">
        <v>1672</v>
      </c>
      <c r="M33" s="18"/>
    </row>
    <row r="34" ht="17.6" spans="4:13">
      <c r="D34" s="18" t="s">
        <v>1651</v>
      </c>
      <c r="E34" s="17" t="s">
        <v>1673</v>
      </c>
      <c r="M34" s="17"/>
    </row>
    <row r="35" ht="17.6" spans="4:13">
      <c r="D35" s="18" t="s">
        <v>1653</v>
      </c>
      <c r="E35" s="17" t="s">
        <v>1674</v>
      </c>
      <c r="M35" s="18"/>
    </row>
    <row r="36" ht="17.6" spans="4:13">
      <c r="D36" s="18" t="s">
        <v>1655</v>
      </c>
      <c r="E36" s="17" t="s">
        <v>1675</v>
      </c>
      <c r="M36" s="17"/>
    </row>
    <row r="37" ht="17.6" spans="4:13">
      <c r="D37" s="18" t="s">
        <v>1657</v>
      </c>
      <c r="E37" s="17" t="s">
        <v>1676</v>
      </c>
      <c r="M37" s="17"/>
    </row>
    <row r="38" ht="17.6" spans="4:13">
      <c r="D38" s="18" t="s">
        <v>1659</v>
      </c>
      <c r="E38" s="17" t="s">
        <v>1677</v>
      </c>
      <c r="M38" s="18"/>
    </row>
    <row r="39" ht="17.6" spans="4:13">
      <c r="D39" s="18" t="s">
        <v>1661</v>
      </c>
      <c r="E39" s="17" t="s">
        <v>1678</v>
      </c>
      <c r="M39" s="18"/>
    </row>
    <row r="40" ht="17.6" spans="4:13">
      <c r="D40" s="18" t="s">
        <v>1663</v>
      </c>
      <c r="E40" s="17" t="s">
        <v>1679</v>
      </c>
      <c r="M40" s="18"/>
    </row>
    <row r="41" ht="17.6" spans="4:13">
      <c r="D41" s="18" t="s">
        <v>1665</v>
      </c>
      <c r="E41" s="17" t="s">
        <v>1680</v>
      </c>
      <c r="M41" s="18"/>
    </row>
    <row r="42" ht="17.6" spans="4:13">
      <c r="D42" s="18" t="s">
        <v>1667</v>
      </c>
      <c r="E42" s="17" t="s">
        <v>1681</v>
      </c>
      <c r="M42" s="18"/>
    </row>
    <row r="43" ht="17.6" spans="4:13">
      <c r="D43" s="18" t="s">
        <v>1669</v>
      </c>
      <c r="E43" s="17" t="s">
        <v>1682</v>
      </c>
      <c r="M43" s="18"/>
    </row>
    <row r="44" ht="17.6" spans="4:13">
      <c r="D44" t="s">
        <v>1671</v>
      </c>
      <c r="E44" t="s">
        <v>1683</v>
      </c>
      <c r="M44" s="17"/>
    </row>
    <row r="45" ht="17.6" spans="4:13">
      <c r="D45" s="17" t="s">
        <v>1522</v>
      </c>
      <c r="E45" s="17" t="s">
        <v>1684</v>
      </c>
      <c r="M45" s="17"/>
    </row>
    <row r="46" ht="17.6" spans="4:13">
      <c r="D46" s="17" t="s">
        <v>1544</v>
      </c>
      <c r="E46" s="17" t="s">
        <v>1685</v>
      </c>
      <c r="M46" s="18"/>
    </row>
    <row r="47" ht="17.6" spans="4:13">
      <c r="D47" s="17" t="s">
        <v>1563</v>
      </c>
      <c r="E47" s="17" t="s">
        <v>1686</v>
      </c>
      <c r="M47" s="18"/>
    </row>
    <row r="48" ht="17.6" spans="4:13">
      <c r="D48" s="17" t="s">
        <v>1523</v>
      </c>
      <c r="E48" s="17" t="s">
        <v>1687</v>
      </c>
      <c r="M48" s="18"/>
    </row>
    <row r="49" ht="17.6" spans="4:13">
      <c r="D49" s="17" t="s">
        <v>1545</v>
      </c>
      <c r="E49" s="17" t="s">
        <v>1688</v>
      </c>
      <c r="M49" s="17"/>
    </row>
    <row r="50" ht="17.6" spans="4:13">
      <c r="D50" s="18" t="s">
        <v>1564</v>
      </c>
      <c r="E50" s="17" t="s">
        <v>1689</v>
      </c>
      <c r="M50" s="17"/>
    </row>
    <row r="51" ht="17.6" spans="4:13">
      <c r="D51" s="18" t="s">
        <v>1578</v>
      </c>
      <c r="E51" s="17" t="s">
        <v>1690</v>
      </c>
      <c r="M51" s="17"/>
    </row>
    <row r="52" ht="17.6" spans="4:13">
      <c r="D52" s="17" t="s">
        <v>1524</v>
      </c>
      <c r="E52" s="17" t="s">
        <v>1691</v>
      </c>
      <c r="M52" s="17"/>
    </row>
    <row r="53" ht="17.6" spans="4:13">
      <c r="D53" s="18" t="s">
        <v>1546</v>
      </c>
      <c r="E53" s="17" t="s">
        <v>1692</v>
      </c>
      <c r="M53" s="17"/>
    </row>
    <row r="54" ht="17.6" spans="4:13">
      <c r="D54" s="17" t="s">
        <v>1525</v>
      </c>
      <c r="E54" s="17" t="s">
        <v>1693</v>
      </c>
      <c r="M54" s="17"/>
    </row>
    <row r="55" ht="17.6" spans="4:13">
      <c r="D55" s="17" t="s">
        <v>1547</v>
      </c>
      <c r="E55" s="17" t="s">
        <v>1694</v>
      </c>
      <c r="M55" s="17"/>
    </row>
    <row r="56" ht="17.6" spans="4:5">
      <c r="D56" s="18" t="s">
        <v>1565</v>
      </c>
      <c r="E56" s="17" t="s">
        <v>1695</v>
      </c>
    </row>
    <row r="57" ht="17.6" spans="4:5">
      <c r="D57" s="18" t="s">
        <v>1579</v>
      </c>
      <c r="E57" s="17" t="s">
        <v>1696</v>
      </c>
    </row>
    <row r="58" ht="17.6" spans="4:5">
      <c r="D58" s="18" t="s">
        <v>1588</v>
      </c>
      <c r="E58" s="17" t="s">
        <v>1697</v>
      </c>
    </row>
    <row r="59" ht="17.6" spans="4:5">
      <c r="D59" s="18" t="s">
        <v>1595</v>
      </c>
      <c r="E59" s="17" t="s">
        <v>1698</v>
      </c>
    </row>
    <row r="60" ht="17.6" spans="4:5">
      <c r="D60" s="18" t="s">
        <v>1601</v>
      </c>
      <c r="E60" s="17" t="s">
        <v>1699</v>
      </c>
    </row>
    <row r="61" ht="17.6" spans="4:5">
      <c r="D61" s="18" t="s">
        <v>1606</v>
      </c>
      <c r="E61" s="17" t="s">
        <v>1700</v>
      </c>
    </row>
    <row r="62" ht="17.6" spans="4:5">
      <c r="D62" s="17" t="s">
        <v>1526</v>
      </c>
      <c r="E62" s="17" t="s">
        <v>1701</v>
      </c>
    </row>
    <row r="63" ht="17.6" spans="4:5">
      <c r="D63" s="17" t="s">
        <v>1548</v>
      </c>
      <c r="E63" s="17" t="s">
        <v>1702</v>
      </c>
    </row>
    <row r="64" ht="17.6" spans="4:5">
      <c r="D64" s="18" t="s">
        <v>1527</v>
      </c>
      <c r="E64" s="17" t="s">
        <v>1703</v>
      </c>
    </row>
    <row r="65" ht="17.6" spans="4:5">
      <c r="D65" s="18" t="s">
        <v>1549</v>
      </c>
      <c r="E65" s="17" t="s">
        <v>1704</v>
      </c>
    </row>
    <row r="66" ht="17.6" spans="4:5">
      <c r="D66" s="18" t="s">
        <v>1566</v>
      </c>
      <c r="E66" s="17" t="s">
        <v>1705</v>
      </c>
    </row>
    <row r="67" ht="17.6" spans="4:5">
      <c r="D67" s="17" t="s">
        <v>1528</v>
      </c>
      <c r="E67" s="17" t="s">
        <v>1706</v>
      </c>
    </row>
    <row r="68" ht="17.6" spans="4:5">
      <c r="D68" s="17" t="s">
        <v>1550</v>
      </c>
      <c r="E68" s="17" t="s">
        <v>1707</v>
      </c>
    </row>
    <row r="69" ht="17.6" spans="4:5">
      <c r="D69" s="17" t="s">
        <v>1567</v>
      </c>
      <c r="E69" s="17" t="s">
        <v>1708</v>
      </c>
    </row>
    <row r="70" ht="17.6" spans="4:5">
      <c r="D70" s="17" t="s">
        <v>1580</v>
      </c>
      <c r="E70" s="17" t="s">
        <v>1709</v>
      </c>
    </row>
    <row r="71" ht="17.6" spans="4:5">
      <c r="D71" s="17" t="s">
        <v>1529</v>
      </c>
      <c r="E71" s="17" t="s">
        <v>1710</v>
      </c>
    </row>
    <row r="72" ht="17.6" spans="4:5">
      <c r="D72" s="17" t="s">
        <v>1530</v>
      </c>
      <c r="E72" s="17" t="s">
        <v>1711</v>
      </c>
    </row>
    <row r="73" ht="17.6" spans="4:5">
      <c r="D73" s="17" t="s">
        <v>1551</v>
      </c>
      <c r="E73" s="17" t="s">
        <v>1712</v>
      </c>
    </row>
    <row r="74" ht="17.6" spans="4:5">
      <c r="D74" s="17" t="s">
        <v>1531</v>
      </c>
      <c r="E74" s="17" t="s">
        <v>1713</v>
      </c>
    </row>
    <row r="75" ht="17.6" spans="4:5">
      <c r="D75" s="17" t="s">
        <v>1552</v>
      </c>
      <c r="E75" s="17" t="s">
        <v>1714</v>
      </c>
    </row>
    <row r="76" ht="17.6" spans="4:5">
      <c r="D76" s="17" t="s">
        <v>1568</v>
      </c>
      <c r="E76" s="17" t="s">
        <v>1715</v>
      </c>
    </row>
    <row r="77" ht="17.6" spans="4:5">
      <c r="D77" s="17" t="s">
        <v>1532</v>
      </c>
      <c r="E77" s="17" t="s">
        <v>1716</v>
      </c>
    </row>
    <row r="78" ht="17.6" spans="4:5">
      <c r="D78" s="17" t="s">
        <v>1553</v>
      </c>
      <c r="E78" s="17" t="s">
        <v>1717</v>
      </c>
    </row>
    <row r="79" ht="17.6" spans="4:5">
      <c r="D79" s="17" t="s">
        <v>1569</v>
      </c>
      <c r="E79" s="17" t="s">
        <v>1718</v>
      </c>
    </row>
    <row r="80" ht="17.6" spans="4:5">
      <c r="D80" s="17" t="s">
        <v>1533</v>
      </c>
      <c r="E80" s="17" t="s">
        <v>1719</v>
      </c>
    </row>
    <row r="81" ht="17.6" spans="4:5">
      <c r="D81" s="17" t="s">
        <v>1554</v>
      </c>
      <c r="E81" s="17" t="s">
        <v>1720</v>
      </c>
    </row>
    <row r="82" ht="17.6" spans="4:5">
      <c r="D82" s="17" t="s">
        <v>1570</v>
      </c>
      <c r="E82" s="17" t="s">
        <v>1721</v>
      </c>
    </row>
    <row r="83" ht="17.6" spans="4:5">
      <c r="D83" s="17" t="s">
        <v>1534</v>
      </c>
      <c r="E83" s="17" t="s">
        <v>1722</v>
      </c>
    </row>
    <row r="84" ht="17.6" spans="4:5">
      <c r="D84" s="17" t="s">
        <v>1535</v>
      </c>
      <c r="E84" s="17" t="s">
        <v>1723</v>
      </c>
    </row>
    <row r="85" ht="17.6" spans="4:5">
      <c r="D85" s="17" t="s">
        <v>1555</v>
      </c>
      <c r="E85" s="17" t="s">
        <v>1724</v>
      </c>
    </row>
    <row r="86" ht="17.6" spans="4:5">
      <c r="D86" s="17" t="s">
        <v>1536</v>
      </c>
      <c r="E86" s="17" t="s">
        <v>1725</v>
      </c>
    </row>
    <row r="87" ht="17.6" spans="4:5">
      <c r="D87" s="17" t="s">
        <v>1556</v>
      </c>
      <c r="E87" s="17" t="s">
        <v>1726</v>
      </c>
    </row>
    <row r="88" ht="17.6" spans="4:5">
      <c r="D88" s="18" t="s">
        <v>1571</v>
      </c>
      <c r="E88" s="17" t="s">
        <v>1727</v>
      </c>
    </row>
    <row r="89" ht="17.6" spans="4:5">
      <c r="D89" s="18" t="s">
        <v>1581</v>
      </c>
      <c r="E89" s="17" t="s">
        <v>1728</v>
      </c>
    </row>
    <row r="90" ht="17.6" spans="4:5">
      <c r="D90" s="18" t="s">
        <v>1589</v>
      </c>
      <c r="E90" s="17" t="s">
        <v>1729</v>
      </c>
    </row>
    <row r="91" ht="17.6" spans="4:5">
      <c r="D91" s="17" t="s">
        <v>1537</v>
      </c>
      <c r="E91" s="17" t="s">
        <v>1730</v>
      </c>
    </row>
  </sheetData>
  <sheetProtection password="C616" sheet="1" objects="1" scenarios="1"/>
  <pageMargins left="0.699305555555556" right="0.699305555555556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1:AH105"/>
  <sheetViews>
    <sheetView topLeftCell="L1" workbookViewId="0">
      <selection activeCell="W30" sqref="W30"/>
    </sheetView>
  </sheetViews>
  <sheetFormatPr defaultColWidth="8.8359375" defaultRowHeight="14"/>
  <cols>
    <col min="1" max="1" width="17.1640625" customWidth="1"/>
    <col min="2" max="5" width="14.8359375" customWidth="1"/>
    <col min="7" max="7" width="14.1640625" customWidth="1"/>
    <col min="11" max="11" width="17.1640625" customWidth="1"/>
    <col min="14" max="14" width="14.6640625" customWidth="1"/>
    <col min="22" max="22" width="16.1640625" customWidth="1"/>
    <col min="23" max="23" width="17.8359375" customWidth="1"/>
  </cols>
  <sheetData>
    <row r="1" s="15" customFormat="1" ht="26.25" customHeight="1" spans="1:34">
      <c r="A1" s="15" t="s">
        <v>1731</v>
      </c>
      <c r="B1" s="15" t="s">
        <v>1732</v>
      </c>
      <c r="D1" s="15" t="s">
        <v>1733</v>
      </c>
      <c r="E1" s="15" t="s">
        <v>1496</v>
      </c>
      <c r="G1" s="15" t="s">
        <v>1734</v>
      </c>
      <c r="H1" s="15" t="s">
        <v>1735</v>
      </c>
      <c r="I1" s="15" t="s">
        <v>1736</v>
      </c>
      <c r="J1" s="15" t="s">
        <v>1737</v>
      </c>
      <c r="K1" s="15" t="s">
        <v>1738</v>
      </c>
      <c r="L1" s="15" t="s">
        <v>1739</v>
      </c>
      <c r="M1" s="15" t="s">
        <v>1740</v>
      </c>
      <c r="N1" s="15" t="s">
        <v>1741</v>
      </c>
      <c r="O1" s="15" t="s">
        <v>1742</v>
      </c>
      <c r="P1" s="15" t="s">
        <v>1743</v>
      </c>
      <c r="Q1" s="15" t="s">
        <v>1744</v>
      </c>
      <c r="R1" s="15" t="s">
        <v>1745</v>
      </c>
      <c r="S1" s="15" t="s">
        <v>1746</v>
      </c>
      <c r="T1" s="15" t="s">
        <v>1747</v>
      </c>
      <c r="U1" s="15" t="s">
        <v>1748</v>
      </c>
      <c r="V1" s="15" t="s">
        <v>1749</v>
      </c>
      <c r="W1" s="15" t="s">
        <v>1750</v>
      </c>
      <c r="X1" s="15" t="s">
        <v>1751</v>
      </c>
      <c r="Y1" s="15" t="s">
        <v>1752</v>
      </c>
      <c r="Z1" s="15" t="s">
        <v>1753</v>
      </c>
      <c r="AA1" s="15" t="s">
        <v>1754</v>
      </c>
      <c r="AB1" s="15" t="s">
        <v>1755</v>
      </c>
      <c r="AC1" s="15" t="s">
        <v>1756</v>
      </c>
      <c r="AD1" s="15" t="s">
        <v>1757</v>
      </c>
      <c r="AE1" s="15" t="s">
        <v>1758</v>
      </c>
      <c r="AF1" s="15" t="s">
        <v>1759</v>
      </c>
      <c r="AG1" s="15" t="s">
        <v>1760</v>
      </c>
      <c r="AH1" s="15" t="s">
        <v>1761</v>
      </c>
    </row>
    <row r="2" spans="1:34">
      <c r="A2" t="s">
        <v>1516</v>
      </c>
      <c r="B2" t="s">
        <v>1762</v>
      </c>
      <c r="D2" t="s">
        <v>1763</v>
      </c>
      <c r="E2" t="s">
        <v>1764</v>
      </c>
      <c r="G2" t="s">
        <v>1763</v>
      </c>
      <c r="H2" t="s">
        <v>1765</v>
      </c>
      <c r="I2" t="s">
        <v>1766</v>
      </c>
      <c r="J2" t="s">
        <v>1767</v>
      </c>
      <c r="K2" t="s">
        <v>1768</v>
      </c>
      <c r="L2" t="s">
        <v>1769</v>
      </c>
      <c r="M2" t="s">
        <v>1770</v>
      </c>
      <c r="N2" t="s">
        <v>1771</v>
      </c>
      <c r="O2" t="s">
        <v>1772</v>
      </c>
      <c r="P2" t="s">
        <v>1773</v>
      </c>
      <c r="Q2" t="s">
        <v>1774</v>
      </c>
      <c r="R2" t="s">
        <v>1775</v>
      </c>
      <c r="S2" t="s">
        <v>1776</v>
      </c>
      <c r="T2" t="s">
        <v>1777</v>
      </c>
      <c r="U2" t="s">
        <v>1778</v>
      </c>
      <c r="V2" t="s">
        <v>1779</v>
      </c>
      <c r="W2" t="s">
        <v>1780</v>
      </c>
      <c r="X2" t="s">
        <v>1781</v>
      </c>
      <c r="Y2" t="s">
        <v>1782</v>
      </c>
      <c r="Z2" t="s">
        <v>1537</v>
      </c>
      <c r="AA2" t="s">
        <v>1783</v>
      </c>
      <c r="AB2" t="s">
        <v>1784</v>
      </c>
      <c r="AC2" t="s">
        <v>1785</v>
      </c>
      <c r="AD2" t="s">
        <v>1786</v>
      </c>
      <c r="AE2" t="s">
        <v>1787</v>
      </c>
      <c r="AF2" t="s">
        <v>1788</v>
      </c>
      <c r="AG2" t="s">
        <v>1789</v>
      </c>
      <c r="AH2" t="s">
        <v>1790</v>
      </c>
    </row>
    <row r="3" spans="1:34">
      <c r="A3" t="s">
        <v>1791</v>
      </c>
      <c r="B3" t="s">
        <v>1792</v>
      </c>
      <c r="D3" t="s">
        <v>1574</v>
      </c>
      <c r="E3" t="s">
        <v>1793</v>
      </c>
      <c r="G3" t="s">
        <v>1574</v>
      </c>
      <c r="H3" t="s">
        <v>1794</v>
      </c>
      <c r="I3" t="s">
        <v>1795</v>
      </c>
      <c r="K3" t="s">
        <v>1796</v>
      </c>
      <c r="L3" t="s">
        <v>1797</v>
      </c>
      <c r="M3" t="s">
        <v>1798</v>
      </c>
      <c r="N3" t="s">
        <v>1799</v>
      </c>
      <c r="O3" t="s">
        <v>1800</v>
      </c>
      <c r="P3" t="s">
        <v>1801</v>
      </c>
      <c r="Q3" t="s">
        <v>1802</v>
      </c>
      <c r="R3" t="s">
        <v>1803</v>
      </c>
      <c r="S3" t="s">
        <v>1804</v>
      </c>
      <c r="T3" t="s">
        <v>1805</v>
      </c>
      <c r="U3" t="s">
        <v>1806</v>
      </c>
      <c r="V3" t="s">
        <v>1807</v>
      </c>
      <c r="W3" t="s">
        <v>1808</v>
      </c>
      <c r="Y3" t="s">
        <v>1809</v>
      </c>
      <c r="AA3" t="s">
        <v>1810</v>
      </c>
      <c r="AB3" t="s">
        <v>1811</v>
      </c>
      <c r="AC3" t="s">
        <v>1812</v>
      </c>
      <c r="AD3" t="s">
        <v>1813</v>
      </c>
      <c r="AE3" t="s">
        <v>1814</v>
      </c>
      <c r="AF3" t="s">
        <v>1815</v>
      </c>
      <c r="AG3" t="s">
        <v>1816</v>
      </c>
      <c r="AH3" t="s">
        <v>1817</v>
      </c>
    </row>
    <row r="4" spans="1:33">
      <c r="A4" t="s">
        <v>1818</v>
      </c>
      <c r="B4" t="s">
        <v>1819</v>
      </c>
      <c r="D4" t="s">
        <v>1540</v>
      </c>
      <c r="E4" t="s">
        <v>1820</v>
      </c>
      <c r="G4" t="s">
        <v>1540</v>
      </c>
      <c r="H4" t="s">
        <v>1821</v>
      </c>
      <c r="I4" t="s">
        <v>1822</v>
      </c>
      <c r="K4" t="s">
        <v>1823</v>
      </c>
      <c r="L4" t="s">
        <v>1824</v>
      </c>
      <c r="M4" t="s">
        <v>1825</v>
      </c>
      <c r="Q4" t="s">
        <v>1826</v>
      </c>
      <c r="R4" t="s">
        <v>1827</v>
      </c>
      <c r="S4" t="s">
        <v>1828</v>
      </c>
      <c r="T4" t="s">
        <v>1829</v>
      </c>
      <c r="V4" t="s">
        <v>1830</v>
      </c>
      <c r="W4" t="s">
        <v>1831</v>
      </c>
      <c r="Y4" t="s">
        <v>1832</v>
      </c>
      <c r="AA4" t="s">
        <v>1833</v>
      </c>
      <c r="AB4" t="s">
        <v>1834</v>
      </c>
      <c r="AC4" t="s">
        <v>1835</v>
      </c>
      <c r="AD4" t="s">
        <v>1836</v>
      </c>
      <c r="AE4" t="s">
        <v>1837</v>
      </c>
      <c r="AG4" t="s">
        <v>1838</v>
      </c>
    </row>
    <row r="5" spans="1:31">
      <c r="A5" t="s">
        <v>1767</v>
      </c>
      <c r="B5" t="s">
        <v>1839</v>
      </c>
      <c r="D5" t="s">
        <v>1840</v>
      </c>
      <c r="E5" t="s">
        <v>1841</v>
      </c>
      <c r="G5" t="s">
        <v>1840</v>
      </c>
      <c r="H5" t="s">
        <v>1842</v>
      </c>
      <c r="I5" t="s">
        <v>1843</v>
      </c>
      <c r="K5" t="s">
        <v>1844</v>
      </c>
      <c r="L5" t="s">
        <v>1845</v>
      </c>
      <c r="M5" t="s">
        <v>1846</v>
      </c>
      <c r="Q5" t="s">
        <v>1847</v>
      </c>
      <c r="R5" t="s">
        <v>1848</v>
      </c>
      <c r="S5" t="s">
        <v>1849</v>
      </c>
      <c r="T5" t="s">
        <v>1850</v>
      </c>
      <c r="V5" t="s">
        <v>1851</v>
      </c>
      <c r="W5" t="s">
        <v>1852</v>
      </c>
      <c r="AB5" t="s">
        <v>1853</v>
      </c>
      <c r="AC5" t="s">
        <v>1854</v>
      </c>
      <c r="AD5" t="s">
        <v>1855</v>
      </c>
      <c r="AE5" t="s">
        <v>1856</v>
      </c>
    </row>
    <row r="6" spans="1:30">
      <c r="A6" t="s">
        <v>1857</v>
      </c>
      <c r="B6" t="s">
        <v>1858</v>
      </c>
      <c r="D6" t="s">
        <v>1859</v>
      </c>
      <c r="E6" t="s">
        <v>1860</v>
      </c>
      <c r="G6" t="s">
        <v>1859</v>
      </c>
      <c r="I6" t="s">
        <v>1861</v>
      </c>
      <c r="L6" t="s">
        <v>1862</v>
      </c>
      <c r="R6" t="s">
        <v>1863</v>
      </c>
      <c r="T6" t="s">
        <v>1864</v>
      </c>
      <c r="W6" t="s">
        <v>1865</v>
      </c>
      <c r="AB6" t="s">
        <v>1866</v>
      </c>
      <c r="AD6" t="s">
        <v>1867</v>
      </c>
    </row>
    <row r="7" spans="1:20">
      <c r="A7" t="s">
        <v>1868</v>
      </c>
      <c r="B7" t="s">
        <v>1869</v>
      </c>
      <c r="D7" t="s">
        <v>1870</v>
      </c>
      <c r="E7" t="s">
        <v>1871</v>
      </c>
      <c r="G7" t="s">
        <v>1870</v>
      </c>
      <c r="I7" t="s">
        <v>1872</v>
      </c>
      <c r="R7" t="s">
        <v>1873</v>
      </c>
      <c r="T7" t="s">
        <v>1874</v>
      </c>
    </row>
    <row r="8" spans="1:20">
      <c r="A8" t="s">
        <v>1875</v>
      </c>
      <c r="B8" t="s">
        <v>1876</v>
      </c>
      <c r="D8" t="s">
        <v>1877</v>
      </c>
      <c r="E8" t="s">
        <v>1878</v>
      </c>
      <c r="G8" t="s">
        <v>1877</v>
      </c>
      <c r="T8" t="s">
        <v>1879</v>
      </c>
    </row>
    <row r="9" spans="1:20">
      <c r="A9" t="s">
        <v>1880</v>
      </c>
      <c r="B9" t="s">
        <v>1881</v>
      </c>
      <c r="D9" t="s">
        <v>1882</v>
      </c>
      <c r="E9" t="s">
        <v>1883</v>
      </c>
      <c r="G9" t="s">
        <v>1882</v>
      </c>
      <c r="T9" t="s">
        <v>1884</v>
      </c>
    </row>
    <row r="10" spans="1:5">
      <c r="A10" t="s">
        <v>1885</v>
      </c>
      <c r="B10" t="s">
        <v>1886</v>
      </c>
      <c r="D10" t="s">
        <v>1765</v>
      </c>
      <c r="E10" t="s">
        <v>1887</v>
      </c>
    </row>
    <row r="11" spans="1:5">
      <c r="A11" t="s">
        <v>1888</v>
      </c>
      <c r="B11" t="s">
        <v>1889</v>
      </c>
      <c r="D11" t="s">
        <v>1794</v>
      </c>
      <c r="E11" t="s">
        <v>1890</v>
      </c>
    </row>
    <row r="12" spans="1:5">
      <c r="A12" t="s">
        <v>1891</v>
      </c>
      <c r="B12" t="s">
        <v>1892</v>
      </c>
      <c r="D12" t="s">
        <v>1821</v>
      </c>
      <c r="E12" t="s">
        <v>1893</v>
      </c>
    </row>
    <row r="13" spans="1:5">
      <c r="A13" t="s">
        <v>1894</v>
      </c>
      <c r="B13" t="s">
        <v>1895</v>
      </c>
      <c r="D13" t="s">
        <v>1842</v>
      </c>
      <c r="E13" t="s">
        <v>1896</v>
      </c>
    </row>
    <row r="14" spans="1:5">
      <c r="A14" t="s">
        <v>1897</v>
      </c>
      <c r="B14" t="s">
        <v>1898</v>
      </c>
      <c r="D14" t="s">
        <v>1766</v>
      </c>
      <c r="E14" t="s">
        <v>1899</v>
      </c>
    </row>
    <row r="15" spans="1:5">
      <c r="A15" t="s">
        <v>1900</v>
      </c>
      <c r="B15" t="s">
        <v>1901</v>
      </c>
      <c r="D15" t="s">
        <v>1795</v>
      </c>
      <c r="E15" t="s">
        <v>1902</v>
      </c>
    </row>
    <row r="16" spans="1:5">
      <c r="A16" t="s">
        <v>1615</v>
      </c>
      <c r="B16" t="s">
        <v>1903</v>
      </c>
      <c r="D16" t="s">
        <v>1822</v>
      </c>
      <c r="E16" t="s">
        <v>1904</v>
      </c>
    </row>
    <row r="17" spans="1:5">
      <c r="A17" t="s">
        <v>1905</v>
      </c>
      <c r="B17" t="s">
        <v>1906</v>
      </c>
      <c r="D17" t="s">
        <v>1843</v>
      </c>
      <c r="E17" t="s">
        <v>1907</v>
      </c>
    </row>
    <row r="18" spans="1:5">
      <c r="A18" t="s">
        <v>1908</v>
      </c>
      <c r="B18" t="s">
        <v>1909</v>
      </c>
      <c r="D18" t="s">
        <v>1861</v>
      </c>
      <c r="E18" t="s">
        <v>1910</v>
      </c>
    </row>
    <row r="19" spans="1:5">
      <c r="A19" t="s">
        <v>1781</v>
      </c>
      <c r="B19" t="s">
        <v>1911</v>
      </c>
      <c r="D19" t="s">
        <v>1872</v>
      </c>
      <c r="E19" t="s">
        <v>1912</v>
      </c>
    </row>
    <row r="20" spans="1:5">
      <c r="A20" t="s">
        <v>1913</v>
      </c>
      <c r="B20" t="s">
        <v>1914</v>
      </c>
      <c r="D20" t="s">
        <v>1767</v>
      </c>
      <c r="E20" t="s">
        <v>1915</v>
      </c>
    </row>
    <row r="21" spans="1:5">
      <c r="A21" t="s">
        <v>1537</v>
      </c>
      <c r="B21" t="s">
        <v>1916</v>
      </c>
      <c r="D21" t="s">
        <v>1768</v>
      </c>
      <c r="E21" t="s">
        <v>1917</v>
      </c>
    </row>
    <row r="22" spans="1:5">
      <c r="A22" t="s">
        <v>1918</v>
      </c>
      <c r="B22" t="s">
        <v>1919</v>
      </c>
      <c r="D22" t="s">
        <v>1796</v>
      </c>
      <c r="E22" t="s">
        <v>1920</v>
      </c>
    </row>
    <row r="23" spans="1:5">
      <c r="A23" t="s">
        <v>1921</v>
      </c>
      <c r="B23" t="s">
        <v>1922</v>
      </c>
      <c r="D23" t="s">
        <v>1823</v>
      </c>
      <c r="E23" t="s">
        <v>1923</v>
      </c>
    </row>
    <row r="24" spans="1:5">
      <c r="A24" t="s">
        <v>1924</v>
      </c>
      <c r="B24" t="s">
        <v>1925</v>
      </c>
      <c r="D24" t="s">
        <v>1844</v>
      </c>
      <c r="E24" t="s">
        <v>1926</v>
      </c>
    </row>
    <row r="25" spans="1:5">
      <c r="A25" t="s">
        <v>1927</v>
      </c>
      <c r="B25" t="s">
        <v>1928</v>
      </c>
      <c r="D25" t="s">
        <v>1769</v>
      </c>
      <c r="E25" t="s">
        <v>1929</v>
      </c>
    </row>
    <row r="26" spans="1:5">
      <c r="A26" t="s">
        <v>1930</v>
      </c>
      <c r="B26" t="s">
        <v>1931</v>
      </c>
      <c r="D26" t="s">
        <v>1797</v>
      </c>
      <c r="E26" t="s">
        <v>1932</v>
      </c>
    </row>
    <row r="27" spans="1:5">
      <c r="A27" t="s">
        <v>1933</v>
      </c>
      <c r="B27" t="s">
        <v>1934</v>
      </c>
      <c r="D27" t="s">
        <v>1824</v>
      </c>
      <c r="E27" t="s">
        <v>1935</v>
      </c>
    </row>
    <row r="28" spans="1:5">
      <c r="A28" t="s">
        <v>1936</v>
      </c>
      <c r="B28" t="s">
        <v>1937</v>
      </c>
      <c r="D28" t="s">
        <v>1845</v>
      </c>
      <c r="E28" t="s">
        <v>1938</v>
      </c>
    </row>
    <row r="29" spans="1:5">
      <c r="A29" t="s">
        <v>1939</v>
      </c>
      <c r="B29" t="s">
        <v>1940</v>
      </c>
      <c r="D29" t="s">
        <v>1862</v>
      </c>
      <c r="E29" t="s">
        <v>1941</v>
      </c>
    </row>
    <row r="30" spans="4:5">
      <c r="D30" t="s">
        <v>1770</v>
      </c>
      <c r="E30" t="s">
        <v>1942</v>
      </c>
    </row>
    <row r="31" spans="4:5">
      <c r="D31" t="s">
        <v>1798</v>
      </c>
      <c r="E31" t="s">
        <v>1943</v>
      </c>
    </row>
    <row r="32" spans="4:5">
      <c r="D32" t="s">
        <v>1825</v>
      </c>
      <c r="E32" t="s">
        <v>1944</v>
      </c>
    </row>
    <row r="33" spans="4:5">
      <c r="D33" t="s">
        <v>1846</v>
      </c>
      <c r="E33" t="s">
        <v>1945</v>
      </c>
    </row>
    <row r="34" spans="4:5">
      <c r="D34" t="s">
        <v>1771</v>
      </c>
      <c r="E34" t="s">
        <v>1946</v>
      </c>
    </row>
    <row r="35" spans="4:5">
      <c r="D35" t="s">
        <v>1799</v>
      </c>
      <c r="E35" t="s">
        <v>1947</v>
      </c>
    </row>
    <row r="36" spans="4:5">
      <c r="D36" t="s">
        <v>1772</v>
      </c>
      <c r="E36" t="s">
        <v>1948</v>
      </c>
    </row>
    <row r="37" spans="4:5">
      <c r="D37" t="s">
        <v>1800</v>
      </c>
      <c r="E37" t="s">
        <v>1949</v>
      </c>
    </row>
    <row r="38" spans="4:5">
      <c r="D38" t="s">
        <v>1773</v>
      </c>
      <c r="E38" t="s">
        <v>1950</v>
      </c>
    </row>
    <row r="39" spans="4:5">
      <c r="D39" t="s">
        <v>1801</v>
      </c>
      <c r="E39" t="s">
        <v>1951</v>
      </c>
    </row>
    <row r="40" spans="4:5">
      <c r="D40" t="s">
        <v>1774</v>
      </c>
      <c r="E40" t="s">
        <v>1952</v>
      </c>
    </row>
    <row r="41" spans="4:5">
      <c r="D41" t="s">
        <v>1802</v>
      </c>
      <c r="E41" t="s">
        <v>1953</v>
      </c>
    </row>
    <row r="42" spans="4:5">
      <c r="D42" t="s">
        <v>1826</v>
      </c>
      <c r="E42" t="s">
        <v>1954</v>
      </c>
    </row>
    <row r="43" spans="4:5">
      <c r="D43" t="s">
        <v>1847</v>
      </c>
      <c r="E43" t="s">
        <v>1955</v>
      </c>
    </row>
    <row r="44" spans="4:5">
      <c r="D44" t="s">
        <v>1775</v>
      </c>
      <c r="E44" t="s">
        <v>1956</v>
      </c>
    </row>
    <row r="45" spans="4:5">
      <c r="D45" t="s">
        <v>1803</v>
      </c>
      <c r="E45" t="s">
        <v>1957</v>
      </c>
    </row>
    <row r="46" spans="4:5">
      <c r="D46" t="s">
        <v>1827</v>
      </c>
      <c r="E46" t="s">
        <v>1958</v>
      </c>
    </row>
    <row r="47" spans="4:5">
      <c r="D47" t="s">
        <v>1848</v>
      </c>
      <c r="E47" t="s">
        <v>1959</v>
      </c>
    </row>
    <row r="48" spans="4:5">
      <c r="D48" t="s">
        <v>1863</v>
      </c>
      <c r="E48" t="s">
        <v>1960</v>
      </c>
    </row>
    <row r="49" spans="4:5">
      <c r="D49" t="s">
        <v>1873</v>
      </c>
      <c r="E49" t="s">
        <v>1961</v>
      </c>
    </row>
    <row r="50" spans="4:5">
      <c r="D50" t="s">
        <v>1776</v>
      </c>
      <c r="E50" t="s">
        <v>1962</v>
      </c>
    </row>
    <row r="51" spans="4:5">
      <c r="D51" t="s">
        <v>1804</v>
      </c>
      <c r="E51" t="s">
        <v>1963</v>
      </c>
    </row>
    <row r="52" spans="4:5">
      <c r="D52" t="s">
        <v>1828</v>
      </c>
      <c r="E52" t="s">
        <v>1964</v>
      </c>
    </row>
    <row r="53" spans="4:5">
      <c r="D53" t="s">
        <v>1849</v>
      </c>
      <c r="E53" t="s">
        <v>1965</v>
      </c>
    </row>
    <row r="54" spans="4:5">
      <c r="D54" t="s">
        <v>1777</v>
      </c>
      <c r="E54" t="s">
        <v>1966</v>
      </c>
    </row>
    <row r="55" spans="4:5">
      <c r="D55" t="s">
        <v>1805</v>
      </c>
      <c r="E55" t="s">
        <v>1967</v>
      </c>
    </row>
    <row r="56" spans="4:5">
      <c r="D56" t="s">
        <v>1829</v>
      </c>
      <c r="E56" t="s">
        <v>1968</v>
      </c>
    </row>
    <row r="57" spans="4:5">
      <c r="D57" t="s">
        <v>1850</v>
      </c>
      <c r="E57" t="s">
        <v>1969</v>
      </c>
    </row>
    <row r="58" spans="4:5">
      <c r="D58" t="s">
        <v>1864</v>
      </c>
      <c r="E58" t="s">
        <v>1970</v>
      </c>
    </row>
    <row r="59" spans="4:5">
      <c r="D59" t="s">
        <v>1874</v>
      </c>
      <c r="E59" t="s">
        <v>1971</v>
      </c>
    </row>
    <row r="60" spans="4:5">
      <c r="D60" t="s">
        <v>1879</v>
      </c>
      <c r="E60" t="s">
        <v>1972</v>
      </c>
    </row>
    <row r="61" spans="4:5">
      <c r="D61" t="s">
        <v>1884</v>
      </c>
      <c r="E61" t="s">
        <v>1973</v>
      </c>
    </row>
    <row r="62" spans="4:5">
      <c r="D62" t="s">
        <v>1778</v>
      </c>
      <c r="E62" t="s">
        <v>1974</v>
      </c>
    </row>
    <row r="63" spans="4:5">
      <c r="D63" t="s">
        <v>1806</v>
      </c>
      <c r="E63" t="s">
        <v>1975</v>
      </c>
    </row>
    <row r="64" spans="4:5">
      <c r="D64" t="s">
        <v>1779</v>
      </c>
      <c r="E64" t="s">
        <v>1976</v>
      </c>
    </row>
    <row r="65" spans="4:5">
      <c r="D65" t="s">
        <v>1807</v>
      </c>
      <c r="E65" t="s">
        <v>1977</v>
      </c>
    </row>
    <row r="66" spans="4:5">
      <c r="D66" t="s">
        <v>1830</v>
      </c>
      <c r="E66" t="s">
        <v>1978</v>
      </c>
    </row>
    <row r="67" spans="4:5">
      <c r="D67" t="s">
        <v>1851</v>
      </c>
      <c r="E67" t="s">
        <v>1979</v>
      </c>
    </row>
    <row r="68" spans="4:5">
      <c r="D68" t="s">
        <v>1780</v>
      </c>
      <c r="E68" t="s">
        <v>1980</v>
      </c>
    </row>
    <row r="69" spans="4:5">
      <c r="D69" t="s">
        <v>1808</v>
      </c>
      <c r="E69" t="s">
        <v>1981</v>
      </c>
    </row>
    <row r="70" spans="4:5">
      <c r="D70" t="s">
        <v>1831</v>
      </c>
      <c r="E70" t="s">
        <v>1982</v>
      </c>
    </row>
    <row r="71" spans="4:5">
      <c r="D71" t="s">
        <v>1852</v>
      </c>
      <c r="E71" t="s">
        <v>1983</v>
      </c>
    </row>
    <row r="72" spans="4:5">
      <c r="D72" t="s">
        <v>1865</v>
      </c>
      <c r="E72" t="s">
        <v>1984</v>
      </c>
    </row>
    <row r="73" spans="4:5">
      <c r="D73" t="s">
        <v>1781</v>
      </c>
      <c r="E73" t="s">
        <v>1985</v>
      </c>
    </row>
    <row r="74" spans="4:5">
      <c r="D74" t="s">
        <v>1782</v>
      </c>
      <c r="E74" t="s">
        <v>1986</v>
      </c>
    </row>
    <row r="75" spans="4:5">
      <c r="D75" t="s">
        <v>1809</v>
      </c>
      <c r="E75" t="s">
        <v>1987</v>
      </c>
    </row>
    <row r="76" spans="4:5">
      <c r="D76" t="s">
        <v>1832</v>
      </c>
      <c r="E76" t="s">
        <v>1988</v>
      </c>
    </row>
    <row r="77" spans="4:5">
      <c r="D77" t="s">
        <v>1537</v>
      </c>
      <c r="E77" t="s">
        <v>1989</v>
      </c>
    </row>
    <row r="78" spans="4:5">
      <c r="D78" t="s">
        <v>1783</v>
      </c>
      <c r="E78" t="s">
        <v>1990</v>
      </c>
    </row>
    <row r="79" spans="4:5">
      <c r="D79" t="s">
        <v>1810</v>
      </c>
      <c r="E79" t="s">
        <v>1991</v>
      </c>
    </row>
    <row r="80" spans="4:5">
      <c r="D80" t="s">
        <v>1833</v>
      </c>
      <c r="E80" t="s">
        <v>1992</v>
      </c>
    </row>
    <row r="81" spans="4:5">
      <c r="D81" t="s">
        <v>1784</v>
      </c>
      <c r="E81" t="s">
        <v>1993</v>
      </c>
    </row>
    <row r="82" spans="4:5">
      <c r="D82" t="s">
        <v>1811</v>
      </c>
      <c r="E82" t="s">
        <v>1994</v>
      </c>
    </row>
    <row r="83" spans="4:5">
      <c r="D83" t="s">
        <v>1834</v>
      </c>
      <c r="E83" t="s">
        <v>1995</v>
      </c>
    </row>
    <row r="84" spans="4:5">
      <c r="D84" t="s">
        <v>1853</v>
      </c>
      <c r="E84" t="s">
        <v>1996</v>
      </c>
    </row>
    <row r="85" spans="4:5">
      <c r="D85" t="s">
        <v>1866</v>
      </c>
      <c r="E85" t="s">
        <v>1997</v>
      </c>
    </row>
    <row r="86" spans="4:5">
      <c r="D86" t="s">
        <v>1785</v>
      </c>
      <c r="E86" t="s">
        <v>1998</v>
      </c>
    </row>
    <row r="87" spans="4:5">
      <c r="D87" t="s">
        <v>1812</v>
      </c>
      <c r="E87" t="s">
        <v>1999</v>
      </c>
    </row>
    <row r="88" spans="4:5">
      <c r="D88" t="s">
        <v>1835</v>
      </c>
      <c r="E88" t="s">
        <v>2000</v>
      </c>
    </row>
    <row r="89" spans="4:5">
      <c r="D89" t="s">
        <v>1854</v>
      </c>
      <c r="E89" t="s">
        <v>2001</v>
      </c>
    </row>
    <row r="90" spans="4:5">
      <c r="D90" t="s">
        <v>1786</v>
      </c>
      <c r="E90" t="s">
        <v>2002</v>
      </c>
    </row>
    <row r="91" spans="4:5">
      <c r="D91" t="s">
        <v>1813</v>
      </c>
      <c r="E91" t="s">
        <v>2003</v>
      </c>
    </row>
    <row r="92" spans="4:5">
      <c r="D92" t="s">
        <v>1836</v>
      </c>
      <c r="E92" t="s">
        <v>2004</v>
      </c>
    </row>
    <row r="93" spans="4:5">
      <c r="D93" t="s">
        <v>1855</v>
      </c>
      <c r="E93" t="s">
        <v>2005</v>
      </c>
    </row>
    <row r="94" spans="4:5">
      <c r="D94" t="s">
        <v>1867</v>
      </c>
      <c r="E94" t="s">
        <v>2006</v>
      </c>
    </row>
    <row r="95" spans="4:5">
      <c r="D95" t="s">
        <v>1787</v>
      </c>
      <c r="E95" t="s">
        <v>2007</v>
      </c>
    </row>
    <row r="96" spans="4:5">
      <c r="D96" t="s">
        <v>1814</v>
      </c>
      <c r="E96" t="s">
        <v>2008</v>
      </c>
    </row>
    <row r="97" spans="4:5">
      <c r="D97" t="s">
        <v>1837</v>
      </c>
      <c r="E97" t="s">
        <v>2009</v>
      </c>
    </row>
    <row r="98" spans="4:5">
      <c r="D98" t="s">
        <v>1856</v>
      </c>
      <c r="E98" t="s">
        <v>2010</v>
      </c>
    </row>
    <row r="99" spans="4:5">
      <c r="D99" t="s">
        <v>1788</v>
      </c>
      <c r="E99" t="s">
        <v>2011</v>
      </c>
    </row>
    <row r="100" spans="4:5">
      <c r="D100" t="s">
        <v>1815</v>
      </c>
      <c r="E100" t="s">
        <v>2012</v>
      </c>
    </row>
    <row r="101" spans="4:5">
      <c r="D101" t="s">
        <v>1789</v>
      </c>
      <c r="E101" t="s">
        <v>2013</v>
      </c>
    </row>
    <row r="102" spans="4:5">
      <c r="D102" t="s">
        <v>1816</v>
      </c>
      <c r="E102" t="s">
        <v>2014</v>
      </c>
    </row>
    <row r="103" spans="4:5">
      <c r="D103" t="s">
        <v>1838</v>
      </c>
      <c r="E103" t="s">
        <v>2015</v>
      </c>
    </row>
    <row r="104" spans="4:5">
      <c r="D104" t="s">
        <v>1790</v>
      </c>
      <c r="E104" t="s">
        <v>2016</v>
      </c>
    </row>
    <row r="105" spans="4:5">
      <c r="D105" t="s">
        <v>1817</v>
      </c>
      <c r="E105" t="s">
        <v>2017</v>
      </c>
    </row>
  </sheetData>
  <sheetProtection password="C616" sheet="1" objects="1" scenarios="1"/>
  <pageMargins left="0.699305555555556" right="0.699305555555556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4"/>
  <dimension ref="A1:B37"/>
  <sheetViews>
    <sheetView topLeftCell="A25" workbookViewId="0">
      <selection activeCell="K47" sqref="K47"/>
    </sheetView>
  </sheetViews>
  <sheetFormatPr defaultColWidth="8.8359375" defaultRowHeight="14" outlineLevelCol="1"/>
  <cols>
    <col min="1" max="1" width="16.5" customWidth="1"/>
    <col min="5" max="5" width="15.1640625" customWidth="1"/>
    <col min="6" max="6" width="17.3359375" customWidth="1"/>
  </cols>
  <sheetData>
    <row r="1" s="10" customFormat="1" ht="31.5" customHeight="1" spans="1:2">
      <c r="A1" s="11" t="s">
        <v>2018</v>
      </c>
      <c r="B1" s="12" t="s">
        <v>2019</v>
      </c>
    </row>
    <row r="2" spans="1:2">
      <c r="A2" s="13" t="s">
        <v>2020</v>
      </c>
      <c r="B2" s="14" t="s">
        <v>2021</v>
      </c>
    </row>
    <row r="3" spans="1:2">
      <c r="A3" s="13" t="s">
        <v>2022</v>
      </c>
      <c r="B3" s="14" t="s">
        <v>2023</v>
      </c>
    </row>
    <row r="4" spans="1:2">
      <c r="A4" s="13" t="s">
        <v>2024</v>
      </c>
      <c r="B4" s="14" t="s">
        <v>2025</v>
      </c>
    </row>
    <row r="5" spans="1:2">
      <c r="A5" s="13" t="s">
        <v>2026</v>
      </c>
      <c r="B5" s="14" t="s">
        <v>2027</v>
      </c>
    </row>
    <row r="6" spans="1:2">
      <c r="A6" s="13" t="s">
        <v>2028</v>
      </c>
      <c r="B6" s="14" t="s">
        <v>2029</v>
      </c>
    </row>
    <row r="7" spans="1:2">
      <c r="A7" s="13" t="s">
        <v>2030</v>
      </c>
      <c r="B7" s="14" t="s">
        <v>2031</v>
      </c>
    </row>
    <row r="8" spans="1:2">
      <c r="A8" s="13" t="s">
        <v>2032</v>
      </c>
      <c r="B8" s="14" t="s">
        <v>2033</v>
      </c>
    </row>
    <row r="9" spans="1:2">
      <c r="A9" s="13" t="s">
        <v>2034</v>
      </c>
      <c r="B9" s="14" t="s">
        <v>2035</v>
      </c>
    </row>
    <row r="10" spans="1:2">
      <c r="A10" s="13" t="s">
        <v>2036</v>
      </c>
      <c r="B10" s="14" t="s">
        <v>2037</v>
      </c>
    </row>
    <row r="11" spans="1:2">
      <c r="A11" s="13" t="s">
        <v>2038</v>
      </c>
      <c r="B11" s="14" t="s">
        <v>2039</v>
      </c>
    </row>
    <row r="12" spans="1:2">
      <c r="A12" s="13" t="s">
        <v>2040</v>
      </c>
      <c r="B12" s="14" t="s">
        <v>2041</v>
      </c>
    </row>
    <row r="13" spans="1:2">
      <c r="A13" s="13" t="s">
        <v>2042</v>
      </c>
      <c r="B13" s="14" t="s">
        <v>2043</v>
      </c>
    </row>
    <row r="14" spans="1:2">
      <c r="A14" s="13" t="s">
        <v>2044</v>
      </c>
      <c r="B14" s="14" t="s">
        <v>2045</v>
      </c>
    </row>
    <row r="15" spans="1:2">
      <c r="A15" s="13" t="s">
        <v>2046</v>
      </c>
      <c r="B15" s="14" t="s">
        <v>2047</v>
      </c>
    </row>
    <row r="16" spans="1:2">
      <c r="A16" s="13" t="s">
        <v>2048</v>
      </c>
      <c r="B16" s="14" t="s">
        <v>2049</v>
      </c>
    </row>
    <row r="17" spans="1:2">
      <c r="A17" s="13" t="s">
        <v>2050</v>
      </c>
      <c r="B17" s="14" t="s">
        <v>2051</v>
      </c>
    </row>
    <row r="18" spans="1:2">
      <c r="A18" s="13" t="s">
        <v>2052</v>
      </c>
      <c r="B18" s="14" t="s">
        <v>2053</v>
      </c>
    </row>
    <row r="19" spans="1:2">
      <c r="A19" s="13" t="s">
        <v>2054</v>
      </c>
      <c r="B19" s="14" t="s">
        <v>2055</v>
      </c>
    </row>
    <row r="20" spans="1:2">
      <c r="A20" s="13" t="s">
        <v>2056</v>
      </c>
      <c r="B20" s="14" t="s">
        <v>2057</v>
      </c>
    </row>
    <row r="21" spans="1:2">
      <c r="A21" s="13" t="s">
        <v>2058</v>
      </c>
      <c r="B21" s="14" t="s">
        <v>2059</v>
      </c>
    </row>
    <row r="22" spans="1:2">
      <c r="A22" s="13" t="s">
        <v>2060</v>
      </c>
      <c r="B22" s="14" t="s">
        <v>2061</v>
      </c>
    </row>
    <row r="23" spans="1:2">
      <c r="A23" s="13" t="s">
        <v>2062</v>
      </c>
      <c r="B23" s="14" t="s">
        <v>2063</v>
      </c>
    </row>
    <row r="24" spans="1:2">
      <c r="A24" s="13" t="s">
        <v>2064</v>
      </c>
      <c r="B24" s="14" t="s">
        <v>2065</v>
      </c>
    </row>
    <row r="25" spans="1:2">
      <c r="A25" s="13" t="s">
        <v>2066</v>
      </c>
      <c r="B25" s="14" t="s">
        <v>2067</v>
      </c>
    </row>
    <row r="26" spans="1:2">
      <c r="A26" s="13" t="s">
        <v>2068</v>
      </c>
      <c r="B26" s="14" t="s">
        <v>2069</v>
      </c>
    </row>
    <row r="27" spans="1:2">
      <c r="A27" s="13" t="s">
        <v>2070</v>
      </c>
      <c r="B27" s="14" t="s">
        <v>2071</v>
      </c>
    </row>
    <row r="28" spans="1:2">
      <c r="A28" s="13" t="s">
        <v>2072</v>
      </c>
      <c r="B28" s="14" t="s">
        <v>2073</v>
      </c>
    </row>
    <row r="29" spans="1:2">
      <c r="A29" s="13" t="s">
        <v>2074</v>
      </c>
      <c r="B29" s="14" t="s">
        <v>2075</v>
      </c>
    </row>
    <row r="30" spans="1:2">
      <c r="A30" s="13" t="s">
        <v>2076</v>
      </c>
      <c r="B30" s="14" t="s">
        <v>2077</v>
      </c>
    </row>
    <row r="31" spans="1:2">
      <c r="A31" s="13" t="s">
        <v>2078</v>
      </c>
      <c r="B31" s="14" t="s">
        <v>2079</v>
      </c>
    </row>
    <row r="32" spans="1:2">
      <c r="A32" s="13" t="s">
        <v>2080</v>
      </c>
      <c r="B32" s="14" t="s">
        <v>2081</v>
      </c>
    </row>
    <row r="33" spans="1:2">
      <c r="A33" s="13" t="s">
        <v>2082</v>
      </c>
      <c r="B33" s="14" t="s">
        <v>2083</v>
      </c>
    </row>
    <row r="34" spans="1:2">
      <c r="A34" s="13" t="s">
        <v>2084</v>
      </c>
      <c r="B34" s="14" t="s">
        <v>2085</v>
      </c>
    </row>
    <row r="35" spans="1:2">
      <c r="A35" s="13" t="s">
        <v>2086</v>
      </c>
      <c r="B35" s="14" t="s">
        <v>2087</v>
      </c>
    </row>
    <row r="36" spans="1:2">
      <c r="A36" s="13" t="s">
        <v>2088</v>
      </c>
      <c r="B36" s="14" t="s">
        <v>2089</v>
      </c>
    </row>
    <row r="37" spans="1:2">
      <c r="A37" s="13" t="s">
        <v>2090</v>
      </c>
      <c r="B37" s="14" t="s">
        <v>2091</v>
      </c>
    </row>
  </sheetData>
  <sheetProtection password="C616" sheet="1" objects="1" scenarios="1"/>
  <pageMargins left="0.699305555555556" right="0.699305555555556" top="0.75" bottom="0.75" header="0.3" footer="0.3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6"/>
  <dimension ref="A1:E32"/>
  <sheetViews>
    <sheetView workbookViewId="0">
      <selection activeCell="E33" sqref="E33"/>
    </sheetView>
  </sheetViews>
  <sheetFormatPr defaultColWidth="8.8359375" defaultRowHeight="14" outlineLevelCol="4"/>
  <cols>
    <col min="1" max="1" width="34.6640625" customWidth="1"/>
    <col min="2" max="2" width="31.5" customWidth="1"/>
    <col min="3" max="3" width="15.3359375" customWidth="1"/>
    <col min="4" max="4" width="13.1640625" customWidth="1"/>
    <col min="5" max="5" width="12.8359375" customWidth="1"/>
  </cols>
  <sheetData>
    <row r="1" ht="16" spans="1:5">
      <c r="A1" s="1" t="s">
        <v>303</v>
      </c>
      <c r="B1" s="2" t="s">
        <v>232</v>
      </c>
      <c r="C1" s="3" t="s">
        <v>304</v>
      </c>
      <c r="D1" s="4" t="s">
        <v>305</v>
      </c>
      <c r="E1" s="9" t="s">
        <v>1400</v>
      </c>
    </row>
    <row r="2" spans="1:1">
      <c r="A2" s="5" t="s">
        <v>191</v>
      </c>
    </row>
    <row r="3" spans="1:5">
      <c r="A3" s="5" t="s">
        <v>193</v>
      </c>
      <c r="B3" t="s">
        <v>2092</v>
      </c>
      <c r="E3">
        <v>0</v>
      </c>
    </row>
    <row r="4" spans="1:5">
      <c r="A4" s="5" t="s">
        <v>194</v>
      </c>
      <c r="B4" t="s">
        <v>2093</v>
      </c>
      <c r="E4">
        <v>0</v>
      </c>
    </row>
    <row r="5" ht="34" spans="1:5">
      <c r="A5" s="6" t="s">
        <v>195</v>
      </c>
      <c r="B5" t="s">
        <v>2094</v>
      </c>
      <c r="E5">
        <v>0</v>
      </c>
    </row>
    <row r="6" spans="1:5">
      <c r="A6" s="5" t="s">
        <v>196</v>
      </c>
      <c r="B6" t="s">
        <v>2095</v>
      </c>
      <c r="E6">
        <v>0</v>
      </c>
    </row>
    <row r="7" spans="1:5">
      <c r="A7" s="5" t="s">
        <v>197</v>
      </c>
      <c r="B7" t="s">
        <v>2096</v>
      </c>
      <c r="E7">
        <v>0</v>
      </c>
    </row>
    <row r="8" ht="17" spans="1:5">
      <c r="A8" s="7" t="s">
        <v>198</v>
      </c>
      <c r="B8" t="s">
        <v>2097</v>
      </c>
      <c r="E8">
        <v>0</v>
      </c>
    </row>
    <row r="9" spans="1:5">
      <c r="A9" t="s">
        <v>199</v>
      </c>
      <c r="B9" t="s">
        <v>2098</v>
      </c>
      <c r="E9">
        <v>0</v>
      </c>
    </row>
    <row r="10" spans="1:1">
      <c r="A10" s="8" t="s">
        <v>200</v>
      </c>
    </row>
    <row r="11" spans="1:5">
      <c r="A11" t="s">
        <v>201</v>
      </c>
      <c r="B11" t="s">
        <v>2099</v>
      </c>
      <c r="E11">
        <v>0</v>
      </c>
    </row>
    <row r="12" spans="1:5">
      <c r="A12" t="s">
        <v>202</v>
      </c>
      <c r="B12" t="s">
        <v>2100</v>
      </c>
      <c r="E12">
        <v>0</v>
      </c>
    </row>
    <row r="13" spans="1:5">
      <c r="A13" t="s">
        <v>203</v>
      </c>
      <c r="B13" t="s">
        <v>2101</v>
      </c>
      <c r="E13">
        <v>0</v>
      </c>
    </row>
    <row r="14" spans="1:5">
      <c r="A14" t="s">
        <v>204</v>
      </c>
      <c r="B14" t="s">
        <v>2102</v>
      </c>
      <c r="E14">
        <v>0</v>
      </c>
    </row>
    <row r="15" spans="1:5">
      <c r="A15" t="s">
        <v>205</v>
      </c>
      <c r="B15" t="s">
        <v>2103</v>
      </c>
      <c r="E15">
        <v>0</v>
      </c>
    </row>
    <row r="16" ht="17" spans="1:5">
      <c r="A16" s="7" t="s">
        <v>2104</v>
      </c>
      <c r="B16" t="s">
        <v>2105</v>
      </c>
      <c r="E16">
        <v>0</v>
      </c>
    </row>
    <row r="17" ht="17" spans="1:5">
      <c r="A17" s="7" t="s">
        <v>2106</v>
      </c>
      <c r="B17" t="s">
        <v>2107</v>
      </c>
      <c r="E17">
        <v>0</v>
      </c>
    </row>
    <row r="18" spans="1:5">
      <c r="A18" t="s">
        <v>208</v>
      </c>
      <c r="B18" t="s">
        <v>2108</v>
      </c>
      <c r="E18">
        <v>0</v>
      </c>
    </row>
    <row r="19" spans="1:5">
      <c r="A19" s="8" t="s">
        <v>209</v>
      </c>
      <c r="E19">
        <v>0</v>
      </c>
    </row>
    <row r="20" spans="1:5">
      <c r="A20" t="s">
        <v>210</v>
      </c>
      <c r="B20" t="s">
        <v>2109</v>
      </c>
      <c r="E20">
        <v>0</v>
      </c>
    </row>
    <row r="21" spans="1:5">
      <c r="A21" t="s">
        <v>211</v>
      </c>
      <c r="B21" t="s">
        <v>2110</v>
      </c>
      <c r="E21">
        <v>0</v>
      </c>
    </row>
    <row r="22" spans="1:5">
      <c r="A22" t="s">
        <v>204</v>
      </c>
      <c r="B22" t="s">
        <v>2111</v>
      </c>
      <c r="E22">
        <v>0</v>
      </c>
    </row>
    <row r="23" spans="1:5">
      <c r="A23" t="s">
        <v>212</v>
      </c>
      <c r="B23" t="s">
        <v>2112</v>
      </c>
      <c r="E23">
        <v>0</v>
      </c>
    </row>
    <row r="24" spans="1:5">
      <c r="A24" t="s">
        <v>208</v>
      </c>
      <c r="B24" t="s">
        <v>2108</v>
      </c>
      <c r="E24">
        <v>0</v>
      </c>
    </row>
    <row r="25" spans="1:1">
      <c r="A25" s="8" t="s">
        <v>213</v>
      </c>
    </row>
    <row r="26" spans="1:5">
      <c r="A26" t="s">
        <v>193</v>
      </c>
      <c r="B26" t="s">
        <v>2113</v>
      </c>
      <c r="E26">
        <v>0</v>
      </c>
    </row>
    <row r="27" spans="1:5">
      <c r="A27" t="s">
        <v>214</v>
      </c>
      <c r="B27" t="s">
        <v>2114</v>
      </c>
      <c r="E27">
        <v>0</v>
      </c>
    </row>
    <row r="28" ht="17" spans="1:5">
      <c r="A28" s="7" t="s">
        <v>196</v>
      </c>
      <c r="B28" t="s">
        <v>2115</v>
      </c>
      <c r="E28">
        <v>0</v>
      </c>
    </row>
    <row r="29" spans="1:5">
      <c r="A29" t="s">
        <v>216</v>
      </c>
      <c r="B29" t="s">
        <v>2116</v>
      </c>
      <c r="E29">
        <v>0</v>
      </c>
    </row>
    <row r="30" spans="1:5">
      <c r="A30" t="s">
        <v>217</v>
      </c>
      <c r="B30" t="s">
        <v>2117</v>
      </c>
      <c r="E30">
        <v>0</v>
      </c>
    </row>
    <row r="31" spans="1:5">
      <c r="A31" t="s">
        <v>218</v>
      </c>
      <c r="B31" t="s">
        <v>2118</v>
      </c>
      <c r="E31">
        <v>0</v>
      </c>
    </row>
    <row r="32" spans="1:5">
      <c r="A32" t="s">
        <v>208</v>
      </c>
      <c r="B32" t="s">
        <v>2108</v>
      </c>
      <c r="E32">
        <v>0</v>
      </c>
    </row>
  </sheetData>
  <sheetProtection password="C616" sheet="1" objects="1" scenarios="1"/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封面</vt:lpstr>
      <vt:lpstr>版本页</vt:lpstr>
      <vt:lpstr>编写说明</vt:lpstr>
      <vt:lpstr>项目基本情况表</vt:lpstr>
      <vt:lpstr>联系方式</vt:lpstr>
      <vt:lpstr>财务基础数据</vt:lpstr>
      <vt:lpstr>产品及其他情况表</vt:lpstr>
      <vt:lpstr>发行人相关人员情况</vt:lpstr>
      <vt:lpstr>数据字典</vt:lpstr>
      <vt:lpstr>中英文映射数据字典</vt:lpstr>
      <vt:lpstr>省市数据</vt:lpstr>
      <vt:lpstr>财务数据字典</vt:lpstr>
      <vt:lpstr>证监会行业数据</vt:lpstr>
      <vt:lpstr>申万行业数据</vt:lpstr>
      <vt:lpstr>证监局数据</vt:lpstr>
      <vt:lpstr>产品及其他情况字典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Microsoft Office User</cp:lastModifiedBy>
  <dcterms:created xsi:type="dcterms:W3CDTF">2017-01-23T15:20:00Z</dcterms:created>
  <cp:lastPrinted>2019-12-02T22:27:00Z</cp:lastPrinted>
  <dcterms:modified xsi:type="dcterms:W3CDTF">2021-01-05T15:55:11Z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1033-3.0.0.4824</vt:lpwstr>
  </property>
</Properties>
</file>